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People\JanN\TCC_Discrepancies\code\input\"/>
    </mc:Choice>
  </mc:AlternateContent>
  <xr:revisionPtr revIDLastSave="0" documentId="13_ncr:1_{F0C4A005-3125-4A26-9500-87BB782FA02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Data_Table_with_New_Variables" sheetId="12" r:id="rId1"/>
    <sheet name="Variable Descriptions" sheetId="11" r:id="rId2"/>
  </sheets>
  <definedNames>
    <definedName name="_xlnm._FilterDatabase" localSheetId="0" hidden="1">Data_Table_with_New_Variables!$P$1:$BA$301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3" i="12" l="1"/>
  <c r="CD4" i="12"/>
  <c r="CD5" i="12"/>
  <c r="CD6" i="12"/>
  <c r="CD7" i="12"/>
  <c r="CD8" i="12"/>
  <c r="CD9" i="12"/>
  <c r="CD10" i="12"/>
  <c r="CD11" i="12"/>
  <c r="CD12" i="12"/>
  <c r="CD13" i="12"/>
  <c r="CD14" i="12"/>
  <c r="CD15" i="12"/>
  <c r="CD16" i="12"/>
  <c r="CD17" i="12"/>
  <c r="CD18" i="12"/>
  <c r="CD19" i="12"/>
  <c r="CD20" i="12"/>
  <c r="CD21" i="12"/>
  <c r="CD22" i="12"/>
  <c r="CD23" i="12"/>
  <c r="CD24" i="12"/>
  <c r="CD25" i="12"/>
  <c r="CD26" i="12"/>
  <c r="CD27" i="12"/>
  <c r="CD28" i="12"/>
  <c r="CD29" i="12"/>
  <c r="CD30" i="12"/>
  <c r="CD31" i="12"/>
  <c r="CD32" i="12"/>
  <c r="CD33" i="12"/>
  <c r="CD34" i="12"/>
  <c r="CD35" i="12"/>
  <c r="CD36" i="12"/>
  <c r="CD37" i="12"/>
  <c r="CD38" i="12"/>
  <c r="CD39" i="12"/>
  <c r="CD40" i="12"/>
  <c r="CD41" i="12"/>
  <c r="CD42" i="12"/>
  <c r="CD43" i="12"/>
  <c r="CD44" i="12"/>
  <c r="CD45" i="12"/>
  <c r="CD46" i="12"/>
  <c r="CD47" i="12"/>
  <c r="CD48" i="12"/>
  <c r="CD49" i="12"/>
  <c r="CD50" i="12"/>
  <c r="CD51" i="12"/>
  <c r="CD52" i="12"/>
  <c r="CD53" i="12"/>
  <c r="CD54" i="12"/>
  <c r="CD55" i="12"/>
  <c r="CD56" i="12"/>
  <c r="CD57" i="12"/>
  <c r="CD58" i="12"/>
  <c r="CD59" i="12"/>
  <c r="CD60" i="12"/>
  <c r="CD61" i="12"/>
  <c r="CD62" i="12"/>
  <c r="CD63" i="12"/>
  <c r="CD64" i="12"/>
  <c r="CD65" i="12"/>
  <c r="CD66" i="12"/>
  <c r="CD67" i="12"/>
  <c r="CD68" i="12"/>
  <c r="CD69" i="12"/>
  <c r="CD70" i="12"/>
  <c r="CD71" i="12"/>
  <c r="CD72" i="12"/>
  <c r="CD73" i="12"/>
  <c r="CD74" i="12"/>
  <c r="CD75" i="12"/>
  <c r="CD76" i="12"/>
  <c r="CD77" i="12"/>
  <c r="CD78" i="12"/>
  <c r="CD79" i="12"/>
  <c r="CD80" i="12"/>
  <c r="CD81" i="12"/>
  <c r="CD82" i="12"/>
  <c r="CD83" i="12"/>
  <c r="CD84" i="12"/>
  <c r="CD85" i="12"/>
  <c r="CD86" i="12"/>
  <c r="CD87" i="12"/>
  <c r="CD88" i="12"/>
  <c r="CD89" i="12"/>
  <c r="CD90" i="12"/>
  <c r="CD91" i="12"/>
  <c r="CD92" i="12"/>
  <c r="CD93" i="12"/>
  <c r="CD94" i="12"/>
  <c r="CD95" i="12"/>
  <c r="CD96" i="12"/>
  <c r="CD97" i="12"/>
  <c r="CD98" i="12"/>
  <c r="CD99" i="12"/>
  <c r="CD100" i="12"/>
  <c r="CD101" i="12"/>
  <c r="CD102" i="12"/>
  <c r="CD103" i="12"/>
  <c r="CD104" i="12"/>
  <c r="CD105" i="12"/>
  <c r="CD106" i="12"/>
  <c r="CD107" i="12"/>
  <c r="CD108" i="12"/>
  <c r="CD109" i="12"/>
  <c r="CD110" i="12"/>
  <c r="CD111" i="12"/>
  <c r="CD112" i="12"/>
  <c r="CD113" i="12"/>
  <c r="CD114" i="12"/>
  <c r="CD115" i="12"/>
  <c r="CD116" i="12"/>
  <c r="CD117" i="12"/>
  <c r="CD118" i="12"/>
  <c r="CD119" i="12"/>
  <c r="CD120" i="12"/>
  <c r="CD121" i="12"/>
  <c r="CD122" i="12"/>
  <c r="CD123" i="12"/>
  <c r="CD124" i="12"/>
  <c r="CD125" i="12"/>
  <c r="CD126" i="12"/>
  <c r="CD127" i="12"/>
  <c r="CD128" i="12"/>
  <c r="CD129" i="12"/>
  <c r="CD130" i="12"/>
  <c r="CD131" i="12"/>
  <c r="CD132" i="12"/>
  <c r="CD133" i="12"/>
  <c r="CD134" i="12"/>
  <c r="CD135" i="12"/>
  <c r="CD136" i="12"/>
  <c r="CD137" i="12"/>
  <c r="CD138" i="12"/>
  <c r="CD139" i="12"/>
  <c r="CD140" i="12"/>
  <c r="CD141" i="12"/>
  <c r="CD142" i="12"/>
  <c r="CD143" i="12"/>
  <c r="CD144" i="12"/>
  <c r="CD145" i="12"/>
  <c r="CD146" i="12"/>
  <c r="CD147" i="12"/>
  <c r="CD148" i="12"/>
  <c r="CD149" i="12"/>
  <c r="CD150" i="12"/>
  <c r="CD151" i="12"/>
  <c r="CD152" i="12"/>
  <c r="CD153" i="12"/>
  <c r="CD154" i="12"/>
  <c r="CD155" i="12"/>
  <c r="CD156" i="12"/>
  <c r="CD157" i="12"/>
  <c r="CD158" i="12"/>
  <c r="CD159" i="12"/>
  <c r="CD160" i="12"/>
  <c r="CD161" i="12"/>
  <c r="CD162" i="12"/>
  <c r="CD163" i="12"/>
  <c r="CD164" i="12"/>
  <c r="CD165" i="12"/>
  <c r="CD166" i="12"/>
  <c r="CD167" i="12"/>
  <c r="CD168" i="12"/>
  <c r="CD169" i="12"/>
  <c r="CD170" i="12"/>
  <c r="CD171" i="12"/>
  <c r="CD172" i="12"/>
  <c r="CD173" i="12"/>
  <c r="CD174" i="12"/>
  <c r="CD175" i="12"/>
  <c r="CD176" i="12"/>
  <c r="CD177" i="12"/>
  <c r="CD178" i="12"/>
  <c r="CD179" i="12"/>
  <c r="CD180" i="12"/>
  <c r="CD181" i="12"/>
  <c r="CD182" i="12"/>
  <c r="CD183" i="12"/>
  <c r="CD184" i="12"/>
  <c r="CD185" i="12"/>
  <c r="CD186" i="12"/>
  <c r="CD187" i="12"/>
  <c r="CD188" i="12"/>
  <c r="CD189" i="12"/>
  <c r="CD190" i="12"/>
  <c r="CD191" i="12"/>
  <c r="CD192" i="12"/>
  <c r="CD193" i="12"/>
  <c r="CD194" i="12"/>
  <c r="CD195" i="12"/>
  <c r="CD196" i="12"/>
  <c r="CD197" i="12"/>
  <c r="CD198" i="12"/>
  <c r="CD199" i="12"/>
  <c r="CD200" i="12"/>
  <c r="CD201" i="12"/>
  <c r="CD202" i="12"/>
  <c r="CD203" i="12"/>
  <c r="CD204" i="12"/>
  <c r="CD205" i="12"/>
  <c r="CD206" i="12"/>
  <c r="CD207" i="12"/>
  <c r="CD208" i="12"/>
  <c r="CD209" i="12"/>
  <c r="CD210" i="12"/>
  <c r="CD211" i="12"/>
  <c r="CD212" i="12"/>
  <c r="CD213" i="12"/>
  <c r="CD214" i="12"/>
  <c r="CD215" i="12"/>
  <c r="CD216" i="12"/>
  <c r="CD217" i="12"/>
  <c r="CD218" i="12"/>
  <c r="CD219" i="12"/>
  <c r="CD220" i="12"/>
  <c r="CD221" i="12"/>
  <c r="CD222" i="12"/>
  <c r="CD223" i="12"/>
  <c r="CD224" i="12"/>
  <c r="CD225" i="12"/>
  <c r="CD226" i="12"/>
  <c r="CD227" i="12"/>
  <c r="CD228" i="12"/>
  <c r="CD229" i="12"/>
  <c r="CD230" i="12"/>
  <c r="CD231" i="12"/>
  <c r="CD232" i="12"/>
  <c r="CD233" i="12"/>
  <c r="CD234" i="12"/>
  <c r="CD235" i="12"/>
  <c r="CD236" i="12"/>
  <c r="CD237" i="12"/>
  <c r="CD238" i="12"/>
  <c r="CD239" i="12"/>
  <c r="CD240" i="12"/>
  <c r="CD241" i="12"/>
  <c r="CD242" i="12"/>
  <c r="CD243" i="12"/>
  <c r="CD244" i="12"/>
  <c r="CD245" i="12"/>
  <c r="CD246" i="12"/>
  <c r="CD247" i="12"/>
  <c r="CD248" i="12"/>
  <c r="CD249" i="12"/>
  <c r="CD250" i="12"/>
  <c r="CD251" i="12"/>
  <c r="CD252" i="12"/>
  <c r="CD253" i="12"/>
  <c r="CD254" i="12"/>
  <c r="CD255" i="12"/>
  <c r="CD256" i="12"/>
  <c r="CD257" i="12"/>
  <c r="CD258" i="12"/>
  <c r="CD259" i="12"/>
  <c r="CD260" i="12"/>
  <c r="CD261" i="12"/>
  <c r="CD262" i="12"/>
  <c r="CD263" i="12"/>
  <c r="CD264" i="12"/>
  <c r="CD265" i="12"/>
  <c r="CD266" i="12"/>
  <c r="CD267" i="12"/>
  <c r="CD268" i="12"/>
  <c r="CD269" i="12"/>
  <c r="CD270" i="12"/>
  <c r="CD271" i="12"/>
  <c r="CD272" i="12"/>
  <c r="CD273" i="12"/>
  <c r="CD274" i="12"/>
  <c r="CD275" i="12"/>
  <c r="CD276" i="12"/>
  <c r="CD277" i="12"/>
  <c r="CD278" i="12"/>
  <c r="CD279" i="12"/>
  <c r="CD280" i="12"/>
  <c r="CD281" i="12"/>
  <c r="CD282" i="12"/>
  <c r="CD283" i="12"/>
  <c r="CD284" i="12"/>
  <c r="CD285" i="12"/>
  <c r="CD286" i="12"/>
  <c r="CD287" i="12"/>
  <c r="CD288" i="12"/>
  <c r="CD289" i="12"/>
  <c r="CD290" i="12"/>
  <c r="CD291" i="12"/>
  <c r="CD292" i="12"/>
  <c r="CD293" i="12"/>
  <c r="CD294" i="12"/>
  <c r="CD295" i="12"/>
  <c r="CD296" i="12"/>
  <c r="CD297" i="12"/>
  <c r="CD298" i="12"/>
  <c r="CD299" i="12"/>
  <c r="CD300" i="12"/>
  <c r="CD301" i="12"/>
  <c r="CD2" i="12"/>
  <c r="BA2" i="12"/>
  <c r="BA3" i="12"/>
  <c r="BA4" i="12"/>
  <c r="BA5" i="12"/>
  <c r="BA6" i="12"/>
  <c r="BA7" i="12"/>
  <c r="BA8" i="12"/>
  <c r="BA9" i="12"/>
  <c r="BA10" i="12"/>
  <c r="BA11" i="12"/>
  <c r="BA12" i="12"/>
  <c r="BA13" i="12"/>
  <c r="BA14" i="12"/>
  <c r="BA15" i="12"/>
  <c r="BA16" i="12"/>
  <c r="BA17" i="12"/>
  <c r="BA18" i="12"/>
  <c r="BA19" i="12"/>
  <c r="BA20" i="12"/>
  <c r="BA21" i="12"/>
  <c r="BA22" i="12"/>
  <c r="BA23" i="12"/>
  <c r="BA24" i="12"/>
  <c r="BA25" i="12"/>
  <c r="BA26" i="12"/>
  <c r="BA27" i="12"/>
  <c r="BA28" i="12"/>
  <c r="BA29" i="12"/>
  <c r="BA30" i="12"/>
  <c r="BA31" i="12"/>
  <c r="BA32" i="12"/>
  <c r="BA33" i="12"/>
  <c r="BA34" i="12"/>
  <c r="BA35" i="12"/>
  <c r="BA36" i="12"/>
  <c r="BA37" i="12"/>
  <c r="BA38" i="12"/>
  <c r="BA39" i="12"/>
  <c r="BA40" i="12"/>
  <c r="BA41" i="12"/>
  <c r="BA42" i="12"/>
  <c r="BA43" i="12"/>
  <c r="BA44" i="12"/>
  <c r="BA45" i="12"/>
  <c r="BA46" i="12"/>
  <c r="BA47" i="12"/>
  <c r="BA48" i="12"/>
  <c r="BA49" i="12"/>
  <c r="BA50" i="12"/>
  <c r="BA51" i="12"/>
  <c r="BA52" i="12"/>
  <c r="BA53" i="12"/>
  <c r="BA54" i="12"/>
  <c r="BA55" i="12"/>
  <c r="BA56" i="12"/>
  <c r="BA57" i="12"/>
  <c r="BA58" i="12"/>
  <c r="BA59" i="12"/>
  <c r="BA60" i="12"/>
  <c r="BA61" i="12"/>
  <c r="BA62" i="12"/>
  <c r="BA63" i="12"/>
  <c r="BA64" i="12"/>
  <c r="BA65" i="12"/>
  <c r="BA66" i="12"/>
  <c r="BA67" i="12"/>
  <c r="BA68" i="12"/>
  <c r="BA69" i="12"/>
  <c r="BA70" i="12"/>
  <c r="BA71" i="12"/>
  <c r="BA72" i="12"/>
  <c r="BA73" i="12"/>
  <c r="BA74" i="12"/>
  <c r="BA75" i="12"/>
  <c r="BA76" i="12"/>
  <c r="BA77" i="12"/>
  <c r="BA78" i="12"/>
  <c r="BA79" i="12"/>
  <c r="BA80" i="12"/>
  <c r="BA81" i="12"/>
  <c r="BA82" i="12"/>
  <c r="BA83" i="12"/>
  <c r="BA84" i="12"/>
  <c r="BA85" i="12"/>
  <c r="BA86" i="12"/>
  <c r="BA87" i="12"/>
  <c r="BA88" i="12"/>
  <c r="BA89" i="12"/>
  <c r="BA90" i="12"/>
  <c r="BA91" i="12"/>
  <c r="BA92" i="12"/>
  <c r="BA93" i="12"/>
  <c r="BA94" i="12"/>
  <c r="BA95" i="12"/>
  <c r="BA96" i="12"/>
  <c r="BA97" i="12"/>
  <c r="BA98" i="12"/>
  <c r="BA99" i="12"/>
  <c r="BA100" i="12"/>
  <c r="BA101" i="12"/>
  <c r="BA102" i="12"/>
  <c r="BA103" i="12"/>
  <c r="BA104" i="12"/>
  <c r="BA105" i="12"/>
  <c r="BA106" i="12"/>
  <c r="BA107" i="12"/>
  <c r="BA108" i="12"/>
  <c r="BA109" i="12"/>
  <c r="BA110" i="12"/>
  <c r="BA111" i="12"/>
  <c r="BA112" i="12"/>
  <c r="BA113" i="12"/>
  <c r="BA114" i="12"/>
  <c r="BA115" i="12"/>
  <c r="BA116" i="12"/>
  <c r="BA117" i="12"/>
  <c r="BA118" i="12"/>
  <c r="BA119" i="12"/>
  <c r="BA120" i="12"/>
  <c r="BA121" i="12"/>
  <c r="BA122" i="12"/>
  <c r="BA123" i="12"/>
  <c r="BA124" i="12"/>
  <c r="BA125" i="12"/>
  <c r="BA126" i="12"/>
  <c r="BA127" i="12"/>
  <c r="BA128" i="12"/>
  <c r="BA129" i="12"/>
  <c r="BA130" i="12"/>
  <c r="BA131" i="12"/>
  <c r="BA132" i="12"/>
  <c r="BA133" i="12"/>
  <c r="BA134" i="12"/>
  <c r="BA135" i="12"/>
  <c r="BA136" i="12"/>
  <c r="BA137" i="12"/>
  <c r="BA138" i="12"/>
  <c r="BA139" i="12"/>
  <c r="BA140" i="12"/>
  <c r="BA141" i="12"/>
  <c r="BA142" i="12"/>
  <c r="BA143" i="12"/>
  <c r="BA144" i="12"/>
  <c r="BA145" i="12"/>
  <c r="BA146" i="12"/>
  <c r="BA147" i="12"/>
  <c r="BA148" i="12"/>
  <c r="BA149" i="12"/>
  <c r="BA150" i="12"/>
  <c r="BA151" i="12"/>
  <c r="BA152" i="12"/>
  <c r="BA153" i="12"/>
  <c r="BA154" i="12"/>
  <c r="BA155" i="12"/>
  <c r="BA156" i="12"/>
  <c r="BA157" i="12"/>
  <c r="BA158" i="12"/>
  <c r="BA159" i="12"/>
  <c r="BA160" i="12"/>
  <c r="BA161" i="12"/>
  <c r="BA162" i="12"/>
  <c r="BA163" i="12"/>
  <c r="BA164" i="12"/>
  <c r="BA165" i="12"/>
  <c r="BA166" i="12"/>
  <c r="BA167" i="12"/>
  <c r="BA168" i="12"/>
  <c r="BA169" i="12"/>
  <c r="BA170" i="12"/>
  <c r="BA171" i="12"/>
  <c r="BA172" i="12"/>
  <c r="BA173" i="12"/>
  <c r="BA174" i="12"/>
  <c r="BA175" i="12"/>
  <c r="BA176" i="12"/>
  <c r="BA177" i="12"/>
  <c r="BA178" i="12"/>
  <c r="BA179" i="12"/>
  <c r="BA180" i="12"/>
  <c r="BA181" i="12"/>
  <c r="BA182" i="12"/>
  <c r="BA183" i="12"/>
  <c r="BA184" i="12"/>
  <c r="BA185" i="12"/>
  <c r="BA186" i="12"/>
  <c r="BA187" i="12"/>
  <c r="BA188" i="12"/>
  <c r="BA189" i="12"/>
  <c r="BA190" i="12"/>
  <c r="BA191" i="12"/>
  <c r="BA192" i="12"/>
  <c r="BA193" i="12"/>
  <c r="BA194" i="12"/>
  <c r="BA195" i="12"/>
  <c r="BA196" i="12"/>
  <c r="BA197" i="12"/>
  <c r="BA198" i="12"/>
  <c r="BA199" i="12"/>
  <c r="BA200" i="12"/>
  <c r="BA201" i="12"/>
  <c r="BA202" i="12"/>
  <c r="BA203" i="12"/>
  <c r="BA204" i="12"/>
  <c r="BA205" i="12"/>
  <c r="BA206" i="12"/>
  <c r="BA207" i="12"/>
  <c r="BA208" i="12"/>
  <c r="BA209" i="12"/>
  <c r="BA210" i="12"/>
  <c r="BA211" i="12"/>
  <c r="BA212" i="12"/>
  <c r="BA213" i="12"/>
  <c r="BA214" i="12"/>
  <c r="BA215" i="12"/>
  <c r="BA216" i="12"/>
  <c r="BA217" i="12"/>
  <c r="BA218" i="12"/>
  <c r="BA219" i="12"/>
  <c r="BA220" i="12"/>
  <c r="BA221" i="12"/>
  <c r="BA222" i="12"/>
  <c r="BA223" i="12"/>
  <c r="BA224" i="12"/>
  <c r="BA225" i="12"/>
  <c r="BA226" i="12"/>
  <c r="BA227" i="12"/>
  <c r="BA228" i="12"/>
  <c r="BA229" i="12"/>
  <c r="BA230" i="12"/>
  <c r="BA231" i="12"/>
  <c r="BA232" i="12"/>
  <c r="BA233" i="12"/>
  <c r="BA234" i="12"/>
  <c r="BA235" i="12"/>
  <c r="BA236" i="12"/>
  <c r="BA237" i="12"/>
  <c r="BA238" i="12"/>
  <c r="BA239" i="12"/>
  <c r="BA240" i="12"/>
  <c r="BA241" i="12"/>
  <c r="BA242" i="12"/>
  <c r="BA243" i="12"/>
  <c r="BA244" i="12"/>
  <c r="BA245" i="12"/>
  <c r="BA246" i="12"/>
  <c r="BA247" i="12"/>
  <c r="BA248" i="12"/>
  <c r="BA249" i="12"/>
  <c r="BA250" i="12"/>
  <c r="BA251" i="12"/>
  <c r="BA252" i="12"/>
  <c r="BA253" i="12"/>
  <c r="BA254" i="12"/>
  <c r="BA255" i="12"/>
  <c r="BA256" i="12"/>
  <c r="BA257" i="12"/>
  <c r="BA258" i="12"/>
  <c r="BA259" i="12"/>
  <c r="BA260" i="12"/>
  <c r="BA261" i="12"/>
  <c r="BA262" i="12"/>
  <c r="BA263" i="12"/>
  <c r="BA264" i="12"/>
  <c r="BA265" i="12"/>
  <c r="BA266" i="12"/>
  <c r="BA267" i="12"/>
  <c r="BA268" i="12"/>
  <c r="BA269" i="12"/>
  <c r="BA270" i="12"/>
  <c r="BA271" i="12"/>
  <c r="BA272" i="12"/>
  <c r="BA273" i="12"/>
  <c r="BA274" i="12"/>
  <c r="BA275" i="12"/>
  <c r="BA276" i="12"/>
  <c r="BA277" i="12"/>
  <c r="BA278" i="12"/>
  <c r="BA279" i="12"/>
  <c r="BA280" i="12"/>
  <c r="BA281" i="12"/>
  <c r="BA282" i="12"/>
  <c r="BA283" i="12"/>
  <c r="BA284" i="12"/>
  <c r="BA285" i="12"/>
  <c r="BA286" i="12"/>
  <c r="BA287" i="12"/>
  <c r="BA288" i="12"/>
  <c r="BA289" i="12"/>
  <c r="BA290" i="12"/>
  <c r="BA291" i="12"/>
  <c r="BA292" i="12"/>
  <c r="BA293" i="12"/>
  <c r="BA294" i="12"/>
  <c r="BA295" i="12"/>
  <c r="BA296" i="12"/>
  <c r="BA297" i="12"/>
  <c r="BA298" i="12"/>
  <c r="BA299" i="12"/>
  <c r="BA300" i="12"/>
  <c r="BA301" i="12"/>
  <c r="AZ3" i="12"/>
  <c r="AZ4" i="12"/>
  <c r="AZ5" i="12"/>
  <c r="AZ6" i="12"/>
  <c r="AZ7" i="12"/>
  <c r="AZ8" i="12"/>
  <c r="AZ9" i="12"/>
  <c r="AZ10" i="12"/>
  <c r="AZ11" i="12"/>
  <c r="AZ12" i="12"/>
  <c r="AZ13" i="12"/>
  <c r="AZ14" i="12"/>
  <c r="AZ15" i="12"/>
  <c r="AZ16" i="12"/>
  <c r="AZ17" i="12"/>
  <c r="AZ18" i="12"/>
  <c r="AZ19" i="12"/>
  <c r="AZ20" i="12"/>
  <c r="AZ21" i="12"/>
  <c r="AZ22" i="12"/>
  <c r="AZ23" i="12"/>
  <c r="AZ24" i="12"/>
  <c r="AZ25" i="12"/>
  <c r="AZ26" i="12"/>
  <c r="AZ27" i="12"/>
  <c r="AZ28" i="12"/>
  <c r="AZ29" i="12"/>
  <c r="AZ30" i="12"/>
  <c r="AZ31" i="12"/>
  <c r="AZ32" i="12"/>
  <c r="AZ33" i="12"/>
  <c r="AZ34" i="12"/>
  <c r="AZ35" i="12"/>
  <c r="AZ36" i="12"/>
  <c r="AZ37" i="12"/>
  <c r="AZ38" i="12"/>
  <c r="AZ39" i="12"/>
  <c r="AZ40" i="12"/>
  <c r="AZ41" i="12"/>
  <c r="AZ42" i="12"/>
  <c r="AZ43" i="12"/>
  <c r="AZ44" i="12"/>
  <c r="AZ45" i="12"/>
  <c r="AZ46" i="12"/>
  <c r="AZ47" i="12"/>
  <c r="AZ48" i="12"/>
  <c r="AZ49" i="12"/>
  <c r="AZ50" i="12"/>
  <c r="AZ51" i="12"/>
  <c r="AZ52" i="12"/>
  <c r="AZ53" i="12"/>
  <c r="AZ54" i="12"/>
  <c r="AZ55" i="12"/>
  <c r="AZ56" i="12"/>
  <c r="AZ57" i="12"/>
  <c r="AZ58" i="12"/>
  <c r="AZ59" i="12"/>
  <c r="AZ60" i="12"/>
  <c r="AZ61" i="12"/>
  <c r="AZ62" i="12"/>
  <c r="AZ63" i="12"/>
  <c r="AZ64" i="12"/>
  <c r="AZ65" i="12"/>
  <c r="AZ66" i="12"/>
  <c r="AZ67" i="12"/>
  <c r="AZ68" i="12"/>
  <c r="AZ69" i="12"/>
  <c r="AZ70" i="12"/>
  <c r="AZ71" i="12"/>
  <c r="AZ72" i="12"/>
  <c r="AZ73" i="12"/>
  <c r="AZ74" i="12"/>
  <c r="AZ75" i="12"/>
  <c r="AZ76" i="12"/>
  <c r="AZ77" i="12"/>
  <c r="AZ78" i="12"/>
  <c r="AZ79" i="12"/>
  <c r="AZ80" i="12"/>
  <c r="AZ81" i="12"/>
  <c r="AZ82" i="12"/>
  <c r="AZ83" i="12"/>
  <c r="AZ84" i="12"/>
  <c r="AZ85" i="12"/>
  <c r="AZ86" i="12"/>
  <c r="AZ87" i="12"/>
  <c r="AZ88" i="12"/>
  <c r="AZ89" i="12"/>
  <c r="AZ90" i="12"/>
  <c r="AZ91" i="12"/>
  <c r="AZ92" i="12"/>
  <c r="AZ93" i="12"/>
  <c r="AZ94" i="12"/>
  <c r="AZ95" i="12"/>
  <c r="AZ96" i="12"/>
  <c r="AZ97" i="12"/>
  <c r="AZ98" i="12"/>
  <c r="AZ99" i="12"/>
  <c r="AZ100" i="12"/>
  <c r="AZ101" i="12"/>
  <c r="AZ102" i="12"/>
  <c r="AZ103" i="12"/>
  <c r="AZ104" i="12"/>
  <c r="AZ105" i="12"/>
  <c r="AZ106" i="12"/>
  <c r="AZ107" i="12"/>
  <c r="AZ108" i="12"/>
  <c r="AZ109" i="12"/>
  <c r="AZ110" i="12"/>
  <c r="AZ111" i="12"/>
  <c r="AZ112" i="12"/>
  <c r="AZ113" i="12"/>
  <c r="AZ114" i="12"/>
  <c r="AZ115" i="12"/>
  <c r="AZ116" i="12"/>
  <c r="AZ117" i="12"/>
  <c r="AZ118" i="12"/>
  <c r="AZ119" i="12"/>
  <c r="AZ120" i="12"/>
  <c r="AZ121" i="12"/>
  <c r="AZ122" i="12"/>
  <c r="AZ123" i="12"/>
  <c r="AZ124" i="12"/>
  <c r="AZ125" i="12"/>
  <c r="AZ126" i="12"/>
  <c r="AZ127" i="12"/>
  <c r="AZ128" i="12"/>
  <c r="AZ129" i="12"/>
  <c r="AZ130" i="12"/>
  <c r="AZ131" i="12"/>
  <c r="AZ132" i="12"/>
  <c r="AZ133" i="12"/>
  <c r="AZ134" i="12"/>
  <c r="AZ135" i="12"/>
  <c r="AZ136" i="12"/>
  <c r="AZ137" i="12"/>
  <c r="AZ138" i="12"/>
  <c r="AZ139" i="12"/>
  <c r="AZ140" i="12"/>
  <c r="AZ141" i="12"/>
  <c r="AZ142" i="12"/>
  <c r="AZ143" i="12"/>
  <c r="AZ144" i="12"/>
  <c r="AZ145" i="12"/>
  <c r="AZ146" i="12"/>
  <c r="AZ147" i="12"/>
  <c r="AZ148" i="12"/>
  <c r="AZ149" i="12"/>
  <c r="AZ150" i="12"/>
  <c r="AZ151" i="12"/>
  <c r="AZ152" i="12"/>
  <c r="AZ153" i="12"/>
  <c r="AZ154" i="12"/>
  <c r="AZ155" i="12"/>
  <c r="AZ156" i="12"/>
  <c r="AZ157" i="12"/>
  <c r="AZ158" i="12"/>
  <c r="AZ159" i="12"/>
  <c r="AZ160" i="12"/>
  <c r="AZ161" i="12"/>
  <c r="AZ162" i="12"/>
  <c r="AZ163" i="12"/>
  <c r="AZ164" i="12"/>
  <c r="AZ165" i="12"/>
  <c r="AZ166" i="12"/>
  <c r="AZ167" i="12"/>
  <c r="AZ168" i="12"/>
  <c r="AZ169" i="12"/>
  <c r="AZ170" i="12"/>
  <c r="AZ171" i="12"/>
  <c r="AZ172" i="12"/>
  <c r="AZ173" i="12"/>
  <c r="AZ174" i="12"/>
  <c r="AZ175" i="12"/>
  <c r="AZ176" i="12"/>
  <c r="AZ177" i="12"/>
  <c r="AZ178" i="12"/>
  <c r="AZ179" i="12"/>
  <c r="AZ180" i="12"/>
  <c r="AZ181" i="12"/>
  <c r="AZ182" i="12"/>
  <c r="AZ183" i="12"/>
  <c r="AZ184" i="12"/>
  <c r="AZ185" i="12"/>
  <c r="AZ186" i="12"/>
  <c r="AZ187" i="12"/>
  <c r="AZ188" i="12"/>
  <c r="AZ189" i="12"/>
  <c r="AZ190" i="12"/>
  <c r="AZ191" i="12"/>
  <c r="AZ192" i="12"/>
  <c r="AZ193" i="12"/>
  <c r="AZ194" i="12"/>
  <c r="AZ195" i="12"/>
  <c r="AZ196" i="12"/>
  <c r="AZ197" i="12"/>
  <c r="AZ198" i="12"/>
  <c r="AZ199" i="12"/>
  <c r="AZ200" i="12"/>
  <c r="AZ201" i="12"/>
  <c r="AZ202" i="12"/>
  <c r="AZ203" i="12"/>
  <c r="AZ204" i="12"/>
  <c r="AZ205" i="12"/>
  <c r="AZ206" i="12"/>
  <c r="AZ207" i="12"/>
  <c r="AZ208" i="12"/>
  <c r="AZ209" i="12"/>
  <c r="AZ210" i="12"/>
  <c r="AZ211" i="12"/>
  <c r="AZ212" i="12"/>
  <c r="AZ213" i="12"/>
  <c r="AZ214" i="12"/>
  <c r="AZ215" i="12"/>
  <c r="AZ216" i="12"/>
  <c r="AZ217" i="12"/>
  <c r="AZ218" i="12"/>
  <c r="AZ219" i="12"/>
  <c r="AZ220" i="12"/>
  <c r="AZ221" i="12"/>
  <c r="AZ222" i="12"/>
  <c r="AZ223" i="12"/>
  <c r="AZ224" i="12"/>
  <c r="AZ225" i="12"/>
  <c r="AZ226" i="12"/>
  <c r="AZ227" i="12"/>
  <c r="AZ228" i="12"/>
  <c r="AZ229" i="12"/>
  <c r="AZ230" i="12"/>
  <c r="AZ231" i="12"/>
  <c r="AZ232" i="12"/>
  <c r="AZ233" i="12"/>
  <c r="AZ234" i="12"/>
  <c r="AZ235" i="12"/>
  <c r="AZ236" i="12"/>
  <c r="AZ237" i="12"/>
  <c r="AZ238" i="12"/>
  <c r="AZ239" i="12"/>
  <c r="AZ240" i="12"/>
  <c r="AZ241" i="12"/>
  <c r="AZ242" i="12"/>
  <c r="AZ243" i="12"/>
  <c r="AZ244" i="12"/>
  <c r="AZ245" i="12"/>
  <c r="AZ246" i="12"/>
  <c r="AZ247" i="12"/>
  <c r="AZ248" i="12"/>
  <c r="AZ249" i="12"/>
  <c r="AZ250" i="12"/>
  <c r="AZ251" i="12"/>
  <c r="AZ252" i="12"/>
  <c r="AZ253" i="12"/>
  <c r="AZ254" i="12"/>
  <c r="AZ255" i="12"/>
  <c r="AZ256" i="12"/>
  <c r="AZ257" i="12"/>
  <c r="AZ258" i="12"/>
  <c r="AZ259" i="12"/>
  <c r="AZ260" i="12"/>
  <c r="AZ261" i="12"/>
  <c r="AZ262" i="12"/>
  <c r="AZ263" i="12"/>
  <c r="AZ264" i="12"/>
  <c r="AZ265" i="12"/>
  <c r="AZ266" i="12"/>
  <c r="AZ267" i="12"/>
  <c r="AZ268" i="12"/>
  <c r="AZ269" i="12"/>
  <c r="AZ270" i="12"/>
  <c r="AZ271" i="12"/>
  <c r="AZ272" i="12"/>
  <c r="AZ273" i="12"/>
  <c r="AZ274" i="12"/>
  <c r="AZ275" i="12"/>
  <c r="AZ276" i="12"/>
  <c r="AZ277" i="12"/>
  <c r="AZ278" i="12"/>
  <c r="AZ279" i="12"/>
  <c r="AZ280" i="12"/>
  <c r="AZ281" i="12"/>
  <c r="AZ282" i="12"/>
  <c r="AZ283" i="12"/>
  <c r="AZ284" i="12"/>
  <c r="AZ285" i="12"/>
  <c r="AZ286" i="12"/>
  <c r="AZ287" i="12"/>
  <c r="AZ288" i="12"/>
  <c r="AZ289" i="12"/>
  <c r="AZ290" i="12"/>
  <c r="AZ291" i="12"/>
  <c r="AZ292" i="12"/>
  <c r="AZ293" i="12"/>
  <c r="AZ294" i="12"/>
  <c r="AZ295" i="12"/>
  <c r="AZ296" i="12"/>
  <c r="AZ297" i="12"/>
  <c r="AZ298" i="12"/>
  <c r="AZ299" i="12"/>
  <c r="AZ300" i="12"/>
  <c r="AZ301" i="12"/>
  <c r="AZ2" i="12"/>
  <c r="AY3" i="12" l="1"/>
  <c r="AY4" i="12"/>
  <c r="AY5" i="12"/>
  <c r="AY6" i="12"/>
  <c r="AY7" i="12"/>
  <c r="AY8" i="12"/>
  <c r="AY9" i="12"/>
  <c r="AY10" i="12"/>
  <c r="AY11" i="12"/>
  <c r="AY12" i="12"/>
  <c r="AY13" i="12"/>
  <c r="AY14" i="12"/>
  <c r="AY15" i="12"/>
  <c r="AY16" i="12"/>
  <c r="AY17" i="12"/>
  <c r="AY18" i="12"/>
  <c r="AY19" i="12"/>
  <c r="AY20" i="12"/>
  <c r="AY21" i="12"/>
  <c r="AY22" i="12"/>
  <c r="AY23" i="12"/>
  <c r="AY24" i="12"/>
  <c r="AY25" i="12"/>
  <c r="AY26" i="12"/>
  <c r="AY27" i="12"/>
  <c r="AY28" i="12"/>
  <c r="AY29" i="12"/>
  <c r="AY30" i="12"/>
  <c r="AY31" i="12"/>
  <c r="AY32" i="12"/>
  <c r="AY33" i="12"/>
  <c r="AY34" i="12"/>
  <c r="AY35" i="12"/>
  <c r="AY36" i="12"/>
  <c r="AY37" i="12"/>
  <c r="AY38" i="12"/>
  <c r="AY39" i="12"/>
  <c r="AY40" i="12"/>
  <c r="AY41" i="12"/>
  <c r="AY42" i="12"/>
  <c r="AY43" i="12"/>
  <c r="AY44" i="12"/>
  <c r="AY45" i="12"/>
  <c r="AY46" i="12"/>
  <c r="AY47" i="12"/>
  <c r="AY48" i="12"/>
  <c r="AY49" i="12"/>
  <c r="AY50" i="12"/>
  <c r="AY51" i="12"/>
  <c r="AY52" i="12"/>
  <c r="AY53" i="12"/>
  <c r="AY54" i="12"/>
  <c r="AY55" i="12"/>
  <c r="AY56" i="12"/>
  <c r="AY57" i="12"/>
  <c r="AY58" i="12"/>
  <c r="AY59" i="12"/>
  <c r="AY60" i="12"/>
  <c r="AY61" i="12"/>
  <c r="AY62" i="12"/>
  <c r="AY63" i="12"/>
  <c r="AY64" i="12"/>
  <c r="AY65" i="12"/>
  <c r="AY66" i="12"/>
  <c r="AY67" i="12"/>
  <c r="AY68" i="12"/>
  <c r="AY69" i="12"/>
  <c r="AY70" i="12"/>
  <c r="AY71" i="12"/>
  <c r="AY72" i="12"/>
  <c r="AY73" i="12"/>
  <c r="AY74" i="12"/>
  <c r="AY75" i="12"/>
  <c r="AY76" i="12"/>
  <c r="AY77" i="12"/>
  <c r="AY78" i="12"/>
  <c r="AY79" i="12"/>
  <c r="AY80" i="12"/>
  <c r="AY81" i="12"/>
  <c r="AY82" i="12"/>
  <c r="AY83" i="12"/>
  <c r="AY84" i="12"/>
  <c r="AY85" i="12"/>
  <c r="AY86" i="12"/>
  <c r="AY87" i="12"/>
  <c r="AY88" i="12"/>
  <c r="AY89" i="12"/>
  <c r="AY90" i="12"/>
  <c r="AY91" i="12"/>
  <c r="AY92" i="12"/>
  <c r="AY93" i="12"/>
  <c r="AY94" i="12"/>
  <c r="AY95" i="12"/>
  <c r="AY96" i="12"/>
  <c r="AY97" i="12"/>
  <c r="AY98" i="12"/>
  <c r="AY99" i="12"/>
  <c r="AY100" i="12"/>
  <c r="AY101" i="12"/>
  <c r="AY102" i="12"/>
  <c r="AY103" i="12"/>
  <c r="AY104" i="12"/>
  <c r="AY105" i="12"/>
  <c r="AY106" i="12"/>
  <c r="AY107" i="12"/>
  <c r="AY108" i="12"/>
  <c r="AY109" i="12"/>
  <c r="AY110" i="12"/>
  <c r="AY111" i="12"/>
  <c r="AY112" i="12"/>
  <c r="AY113" i="12"/>
  <c r="AY114" i="12"/>
  <c r="AY115" i="12"/>
  <c r="AY116" i="12"/>
  <c r="AY117" i="12"/>
  <c r="AY118" i="12"/>
  <c r="AY119" i="12"/>
  <c r="AY120" i="12"/>
  <c r="AY121" i="12"/>
  <c r="AY122" i="12"/>
  <c r="AY123" i="12"/>
  <c r="AY124" i="12"/>
  <c r="AY125" i="12"/>
  <c r="AY126" i="12"/>
  <c r="AY127" i="12"/>
  <c r="AY128" i="12"/>
  <c r="AY129" i="12"/>
  <c r="AY130" i="12"/>
  <c r="AY131" i="12"/>
  <c r="AY132" i="12"/>
  <c r="AY133" i="12"/>
  <c r="AY134" i="12"/>
  <c r="AY135" i="12"/>
  <c r="AY136" i="12"/>
  <c r="AY137" i="12"/>
  <c r="AY138" i="12"/>
  <c r="AY139" i="12"/>
  <c r="AY140" i="12"/>
  <c r="AY141" i="12"/>
  <c r="AY142" i="12"/>
  <c r="AY143" i="12"/>
  <c r="AY144" i="12"/>
  <c r="AY145" i="12"/>
  <c r="AY146" i="12"/>
  <c r="AY147" i="12"/>
  <c r="AY148" i="12"/>
  <c r="AY149" i="12"/>
  <c r="AY150" i="12"/>
  <c r="AY151" i="12"/>
  <c r="AY152" i="12"/>
  <c r="AY153" i="12"/>
  <c r="AY154" i="12"/>
  <c r="AY155" i="12"/>
  <c r="AY156" i="12"/>
  <c r="AY157" i="12"/>
  <c r="AY158" i="12"/>
  <c r="AY159" i="12"/>
  <c r="AY160" i="12"/>
  <c r="AY161" i="12"/>
  <c r="AY162" i="12"/>
  <c r="AY163" i="12"/>
  <c r="AY164" i="12"/>
  <c r="AY165" i="12"/>
  <c r="AY166" i="12"/>
  <c r="AY167" i="12"/>
  <c r="AY168" i="12"/>
  <c r="AY169" i="12"/>
  <c r="AY170" i="12"/>
  <c r="AY171" i="12"/>
  <c r="AY172" i="12"/>
  <c r="AY173" i="12"/>
  <c r="AY174" i="12"/>
  <c r="AY175" i="12"/>
  <c r="AY176" i="12"/>
  <c r="AY177" i="12"/>
  <c r="AY178" i="12"/>
  <c r="AY179" i="12"/>
  <c r="AY180" i="12"/>
  <c r="AY181" i="12"/>
  <c r="AY182" i="12"/>
  <c r="AY183" i="12"/>
  <c r="AY184" i="12"/>
  <c r="AY185" i="12"/>
  <c r="AY186" i="12"/>
  <c r="AY187" i="12"/>
  <c r="AY188" i="12"/>
  <c r="AY189" i="12"/>
  <c r="AY190" i="12"/>
  <c r="AY191" i="12"/>
  <c r="AY192" i="12"/>
  <c r="AY193" i="12"/>
  <c r="AY194" i="12"/>
  <c r="AY195" i="12"/>
  <c r="AY196" i="12"/>
  <c r="AY197" i="12"/>
  <c r="AY198" i="12"/>
  <c r="AY199" i="12"/>
  <c r="AY200" i="12"/>
  <c r="AY201" i="12"/>
  <c r="AY202" i="12"/>
  <c r="AY203" i="12"/>
  <c r="AY204" i="12"/>
  <c r="AY205" i="12"/>
  <c r="AY206" i="12"/>
  <c r="AY207" i="12"/>
  <c r="AY208" i="12"/>
  <c r="AY209" i="12"/>
  <c r="AY210" i="12"/>
  <c r="AY211" i="12"/>
  <c r="AY212" i="12"/>
  <c r="AY213" i="12"/>
  <c r="AY214" i="12"/>
  <c r="AY215" i="12"/>
  <c r="AY216" i="12"/>
  <c r="AY217" i="12"/>
  <c r="AY218" i="12"/>
  <c r="AY219" i="12"/>
  <c r="AY220" i="12"/>
  <c r="AY221" i="12"/>
  <c r="AY222" i="12"/>
  <c r="AY223" i="12"/>
  <c r="AY224" i="12"/>
  <c r="AY225" i="12"/>
  <c r="AY226" i="12"/>
  <c r="AY227" i="12"/>
  <c r="AY228" i="12"/>
  <c r="AY229" i="12"/>
  <c r="AY230" i="12"/>
  <c r="AY231" i="12"/>
  <c r="AY232" i="12"/>
  <c r="AY233" i="12"/>
  <c r="AY234" i="12"/>
  <c r="AY235" i="12"/>
  <c r="AY236" i="12"/>
  <c r="AY237" i="12"/>
  <c r="AY238" i="12"/>
  <c r="AY239" i="12"/>
  <c r="AY240" i="12"/>
  <c r="AY241" i="12"/>
  <c r="AY242" i="12"/>
  <c r="AY243" i="12"/>
  <c r="AY244" i="12"/>
  <c r="AY245" i="12"/>
  <c r="AY246" i="12"/>
  <c r="AY247" i="12"/>
  <c r="AY248" i="12"/>
  <c r="AY249" i="12"/>
  <c r="AY250" i="12"/>
  <c r="AY251" i="12"/>
  <c r="AY252" i="12"/>
  <c r="AY253" i="12"/>
  <c r="AY254" i="12"/>
  <c r="AY255" i="12"/>
  <c r="AY256" i="12"/>
  <c r="AY257" i="12"/>
  <c r="AY258" i="12"/>
  <c r="AY259" i="12"/>
  <c r="AY260" i="12"/>
  <c r="AY261" i="12"/>
  <c r="AY262" i="12"/>
  <c r="AY263" i="12"/>
  <c r="AY264" i="12"/>
  <c r="AY265" i="12"/>
  <c r="AY266" i="12"/>
  <c r="AY267" i="12"/>
  <c r="AY268" i="12"/>
  <c r="AY269" i="12"/>
  <c r="AY270" i="12"/>
  <c r="AY271" i="12"/>
  <c r="AY272" i="12"/>
  <c r="AY273" i="12"/>
  <c r="AY274" i="12"/>
  <c r="AY275" i="12"/>
  <c r="AY276" i="12"/>
  <c r="AY277" i="12"/>
  <c r="AY278" i="12"/>
  <c r="AY279" i="12"/>
  <c r="AY280" i="12"/>
  <c r="AY281" i="12"/>
  <c r="AY282" i="12"/>
  <c r="AY283" i="12"/>
  <c r="AY284" i="12"/>
  <c r="AY285" i="12"/>
  <c r="AY286" i="12"/>
  <c r="AY287" i="12"/>
  <c r="AY288" i="12"/>
  <c r="AY289" i="12"/>
  <c r="AY290" i="12"/>
  <c r="AY291" i="12"/>
  <c r="AY292" i="12"/>
  <c r="AY293" i="12"/>
  <c r="AY294" i="12"/>
  <c r="AY295" i="12"/>
  <c r="AY296" i="12"/>
  <c r="AY297" i="12"/>
  <c r="AY298" i="12"/>
  <c r="AY299" i="12"/>
  <c r="AY300" i="12"/>
  <c r="AY301" i="12"/>
  <c r="AY2" i="12"/>
  <c r="AX3" i="12"/>
  <c r="AX4" i="12"/>
  <c r="AX5" i="12"/>
  <c r="AX6" i="12"/>
  <c r="AX7" i="12"/>
  <c r="AX8" i="12"/>
  <c r="AX9" i="12"/>
  <c r="AX10" i="12"/>
  <c r="AX11" i="12"/>
  <c r="AX12" i="12"/>
  <c r="AX13" i="12"/>
  <c r="AX14" i="12"/>
  <c r="AX15" i="12"/>
  <c r="AX16" i="12"/>
  <c r="AX17" i="12"/>
  <c r="AX18" i="12"/>
  <c r="AX19" i="12"/>
  <c r="AX20" i="12"/>
  <c r="AX21" i="12"/>
  <c r="AX22" i="12"/>
  <c r="AX23" i="12"/>
  <c r="AX24" i="12"/>
  <c r="AX25" i="12"/>
  <c r="AX26" i="12"/>
  <c r="AX27" i="12"/>
  <c r="AX28" i="12"/>
  <c r="AX29" i="12"/>
  <c r="AX30" i="12"/>
  <c r="AX31" i="12"/>
  <c r="AX32" i="12"/>
  <c r="AX33" i="12"/>
  <c r="AX34" i="12"/>
  <c r="AX35" i="12"/>
  <c r="AX36" i="12"/>
  <c r="AX37" i="12"/>
  <c r="AX38" i="12"/>
  <c r="AX39" i="12"/>
  <c r="AX40" i="12"/>
  <c r="AX41" i="12"/>
  <c r="AX42" i="12"/>
  <c r="AX43" i="12"/>
  <c r="AX44" i="12"/>
  <c r="AX45" i="12"/>
  <c r="AX46" i="12"/>
  <c r="AX47" i="12"/>
  <c r="AX48" i="12"/>
  <c r="AX49" i="12"/>
  <c r="AX50" i="12"/>
  <c r="AX51" i="12"/>
  <c r="AX52" i="12"/>
  <c r="AX53" i="12"/>
  <c r="AX54" i="12"/>
  <c r="AX55" i="12"/>
  <c r="AX56" i="12"/>
  <c r="AX57" i="12"/>
  <c r="AX58" i="12"/>
  <c r="AX59" i="12"/>
  <c r="AX60" i="12"/>
  <c r="AX61" i="12"/>
  <c r="AX62" i="12"/>
  <c r="AX63" i="12"/>
  <c r="AX64" i="12"/>
  <c r="AX65" i="12"/>
  <c r="AX66" i="12"/>
  <c r="AX67" i="12"/>
  <c r="AX68" i="12"/>
  <c r="AX69" i="12"/>
  <c r="AX70" i="12"/>
  <c r="AX71" i="12"/>
  <c r="AX72" i="12"/>
  <c r="AX73" i="12"/>
  <c r="AX74" i="12"/>
  <c r="AX75" i="12"/>
  <c r="AX76" i="12"/>
  <c r="AX77" i="12"/>
  <c r="AX78" i="12"/>
  <c r="AX79" i="12"/>
  <c r="AX80" i="12"/>
  <c r="AX81" i="12"/>
  <c r="AX82" i="12"/>
  <c r="AX83" i="12"/>
  <c r="AX84" i="12"/>
  <c r="AX85" i="12"/>
  <c r="AX86" i="12"/>
  <c r="AX87" i="12"/>
  <c r="AX88" i="12"/>
  <c r="AX89" i="12"/>
  <c r="AX90" i="12"/>
  <c r="AX91" i="12"/>
  <c r="AX92" i="12"/>
  <c r="AX93" i="12"/>
  <c r="AX94" i="12"/>
  <c r="AX95" i="12"/>
  <c r="AX96" i="12"/>
  <c r="AX97" i="12"/>
  <c r="AX98" i="12"/>
  <c r="AX99" i="12"/>
  <c r="AX100" i="12"/>
  <c r="AX101" i="12"/>
  <c r="AX102" i="12"/>
  <c r="AX103" i="12"/>
  <c r="AX104" i="12"/>
  <c r="AX105" i="12"/>
  <c r="AX106" i="12"/>
  <c r="AX107" i="12"/>
  <c r="AX108" i="12"/>
  <c r="AX109" i="12"/>
  <c r="AX110" i="12"/>
  <c r="AX111" i="12"/>
  <c r="AX112" i="12"/>
  <c r="AX113" i="12"/>
  <c r="AX114" i="12"/>
  <c r="AX115" i="12"/>
  <c r="AX116" i="12"/>
  <c r="AX117" i="12"/>
  <c r="AX118" i="12"/>
  <c r="AX119" i="12"/>
  <c r="AX120" i="12"/>
  <c r="AX121" i="12"/>
  <c r="AX122" i="12"/>
  <c r="AX123" i="12"/>
  <c r="AX124" i="12"/>
  <c r="AX125" i="12"/>
  <c r="AX126" i="12"/>
  <c r="AX127" i="12"/>
  <c r="AX128" i="12"/>
  <c r="AX129" i="12"/>
  <c r="AX130" i="12"/>
  <c r="AX131" i="12"/>
  <c r="AX132" i="12"/>
  <c r="AX133" i="12"/>
  <c r="AX134" i="12"/>
  <c r="AX135" i="12"/>
  <c r="AX136" i="12"/>
  <c r="AX137" i="12"/>
  <c r="AX138" i="12"/>
  <c r="AX139" i="12"/>
  <c r="AX140" i="12"/>
  <c r="AX141" i="12"/>
  <c r="AX142" i="12"/>
  <c r="AX143" i="12"/>
  <c r="AX144" i="12"/>
  <c r="AX145" i="12"/>
  <c r="AX146" i="12"/>
  <c r="AX147" i="12"/>
  <c r="AX148" i="12"/>
  <c r="AX149" i="12"/>
  <c r="AX150" i="12"/>
  <c r="AX151" i="12"/>
  <c r="AX152" i="12"/>
  <c r="AX153" i="12"/>
  <c r="AX154" i="12"/>
  <c r="AX155" i="12"/>
  <c r="AX156" i="12"/>
  <c r="AX157" i="12"/>
  <c r="AX158" i="12"/>
  <c r="AX159" i="12"/>
  <c r="AX160" i="12"/>
  <c r="AX161" i="12"/>
  <c r="AX162" i="12"/>
  <c r="AX163" i="12"/>
  <c r="AX164" i="12"/>
  <c r="AX165" i="12"/>
  <c r="AX166" i="12"/>
  <c r="AX167" i="12"/>
  <c r="AX168" i="12"/>
  <c r="AX169" i="12"/>
  <c r="AX170" i="12"/>
  <c r="AX171" i="12"/>
  <c r="AX172" i="12"/>
  <c r="AX173" i="12"/>
  <c r="AX174" i="12"/>
  <c r="AX175" i="12"/>
  <c r="AX176" i="12"/>
  <c r="AX177" i="12"/>
  <c r="AX178" i="12"/>
  <c r="AX179" i="12"/>
  <c r="AX180" i="12"/>
  <c r="AX181" i="12"/>
  <c r="AX182" i="12"/>
  <c r="AX183" i="12"/>
  <c r="AX184" i="12"/>
  <c r="AX185" i="12"/>
  <c r="AX186" i="12"/>
  <c r="AX187" i="12"/>
  <c r="AX188" i="12"/>
  <c r="AX189" i="12"/>
  <c r="AX190" i="12"/>
  <c r="AX191" i="12"/>
  <c r="AX192" i="12"/>
  <c r="AX193" i="12"/>
  <c r="AX194" i="12"/>
  <c r="AX195" i="12"/>
  <c r="AX196" i="12"/>
  <c r="AX197" i="12"/>
  <c r="AX198" i="12"/>
  <c r="AX199" i="12"/>
  <c r="AX200" i="12"/>
  <c r="AX201" i="12"/>
  <c r="AX202" i="12"/>
  <c r="AX203" i="12"/>
  <c r="AX204" i="12"/>
  <c r="AX205" i="12"/>
  <c r="AX206" i="12"/>
  <c r="AX207" i="12"/>
  <c r="AX208" i="12"/>
  <c r="AX209" i="12"/>
  <c r="AX210" i="12"/>
  <c r="AX211" i="12"/>
  <c r="AX212" i="12"/>
  <c r="AX213" i="12"/>
  <c r="AX214" i="12"/>
  <c r="AX215" i="12"/>
  <c r="AX216" i="12"/>
  <c r="AX217" i="12"/>
  <c r="AX218" i="12"/>
  <c r="AX219" i="12"/>
  <c r="AX220" i="12"/>
  <c r="AX221" i="12"/>
  <c r="AX222" i="12"/>
  <c r="AX223" i="12"/>
  <c r="AX224" i="12"/>
  <c r="AX225" i="12"/>
  <c r="AX226" i="12"/>
  <c r="AX227" i="12"/>
  <c r="AX228" i="12"/>
  <c r="AX229" i="12"/>
  <c r="AX230" i="12"/>
  <c r="AX231" i="12"/>
  <c r="AX232" i="12"/>
  <c r="AX233" i="12"/>
  <c r="AX234" i="12"/>
  <c r="AX235" i="12"/>
  <c r="AX236" i="12"/>
  <c r="AX237" i="12"/>
  <c r="AX238" i="12"/>
  <c r="AX239" i="12"/>
  <c r="AX240" i="12"/>
  <c r="AX241" i="12"/>
  <c r="AX242" i="12"/>
  <c r="AX243" i="12"/>
  <c r="AX244" i="12"/>
  <c r="AX245" i="12"/>
  <c r="AX246" i="12"/>
  <c r="AX247" i="12"/>
  <c r="AX248" i="12"/>
  <c r="AX249" i="12"/>
  <c r="AX250" i="12"/>
  <c r="AX251" i="12"/>
  <c r="AX252" i="12"/>
  <c r="AX253" i="12"/>
  <c r="AX254" i="12"/>
  <c r="AX255" i="12"/>
  <c r="AX256" i="12"/>
  <c r="AX257" i="12"/>
  <c r="AX258" i="12"/>
  <c r="AX259" i="12"/>
  <c r="AX260" i="12"/>
  <c r="AX261" i="12"/>
  <c r="AX262" i="12"/>
  <c r="AX263" i="12"/>
  <c r="AX264" i="12"/>
  <c r="AX265" i="12"/>
  <c r="AX266" i="12"/>
  <c r="AX267" i="12"/>
  <c r="AX268" i="12"/>
  <c r="AX269" i="12"/>
  <c r="AX270" i="12"/>
  <c r="AX271" i="12"/>
  <c r="AX272" i="12"/>
  <c r="AX273" i="12"/>
  <c r="AX274" i="12"/>
  <c r="AX275" i="12"/>
  <c r="AX276" i="12"/>
  <c r="AX277" i="12"/>
  <c r="AX278" i="12"/>
  <c r="AX279" i="12"/>
  <c r="AX280" i="12"/>
  <c r="AX281" i="12"/>
  <c r="AX282" i="12"/>
  <c r="AX283" i="12"/>
  <c r="AX284" i="12"/>
  <c r="AX285" i="12"/>
  <c r="AX286" i="12"/>
  <c r="AX287" i="12"/>
  <c r="AX288" i="12"/>
  <c r="AX289" i="12"/>
  <c r="AX290" i="12"/>
  <c r="AX291" i="12"/>
  <c r="AX292" i="12"/>
  <c r="AX293" i="12"/>
  <c r="AX294" i="12"/>
  <c r="AX295" i="12"/>
  <c r="AX296" i="12"/>
  <c r="AX297" i="12"/>
  <c r="AX298" i="12"/>
  <c r="AX299" i="12"/>
  <c r="AX300" i="12"/>
  <c r="AX301" i="12"/>
  <c r="AX2" i="12"/>
  <c r="AV301" i="12"/>
  <c r="AW3" i="12"/>
  <c r="AW4" i="12"/>
  <c r="AW5" i="12"/>
  <c r="AW6" i="12"/>
  <c r="AW7" i="12"/>
  <c r="AW8" i="12"/>
  <c r="AW9" i="12"/>
  <c r="AW10" i="12"/>
  <c r="AW11" i="12"/>
  <c r="AW12" i="12"/>
  <c r="AW13" i="12"/>
  <c r="AW14" i="12"/>
  <c r="AW15" i="12"/>
  <c r="AW16" i="12"/>
  <c r="AW17" i="12"/>
  <c r="AW18" i="12"/>
  <c r="AW19" i="12"/>
  <c r="AW20" i="12"/>
  <c r="AW21" i="12"/>
  <c r="AW22" i="12"/>
  <c r="AW23" i="12"/>
  <c r="AW24" i="12"/>
  <c r="AW25" i="12"/>
  <c r="AW26" i="12"/>
  <c r="AW27" i="12"/>
  <c r="AW28" i="12"/>
  <c r="AW29" i="12"/>
  <c r="AW30" i="12"/>
  <c r="AW31" i="12"/>
  <c r="AW32" i="12"/>
  <c r="AW33" i="12"/>
  <c r="AW34" i="12"/>
  <c r="AW35" i="12"/>
  <c r="AW36" i="12"/>
  <c r="AW37" i="12"/>
  <c r="AW38" i="12"/>
  <c r="AW39" i="12"/>
  <c r="AW40" i="12"/>
  <c r="AW41" i="12"/>
  <c r="AW42" i="12"/>
  <c r="AW43" i="12"/>
  <c r="AW44" i="12"/>
  <c r="AW45" i="12"/>
  <c r="AW46" i="12"/>
  <c r="AW47" i="12"/>
  <c r="AW48" i="12"/>
  <c r="AW49" i="12"/>
  <c r="AW50" i="12"/>
  <c r="AW51" i="12"/>
  <c r="AW52" i="12"/>
  <c r="AW53" i="12"/>
  <c r="AW54" i="12"/>
  <c r="AW55" i="12"/>
  <c r="AW56" i="12"/>
  <c r="AW57" i="12"/>
  <c r="AW58" i="12"/>
  <c r="AW59" i="12"/>
  <c r="AW60" i="12"/>
  <c r="AW61" i="12"/>
  <c r="AW62" i="12"/>
  <c r="AW63" i="12"/>
  <c r="AW64" i="12"/>
  <c r="AW65" i="12"/>
  <c r="AW66" i="12"/>
  <c r="AW67" i="12"/>
  <c r="AW68" i="12"/>
  <c r="AW69" i="12"/>
  <c r="AW70" i="12"/>
  <c r="AW71" i="12"/>
  <c r="AW72" i="12"/>
  <c r="AW73" i="12"/>
  <c r="AW74" i="12"/>
  <c r="AW75" i="12"/>
  <c r="AW76" i="12"/>
  <c r="AW77" i="12"/>
  <c r="AW78" i="12"/>
  <c r="AW79" i="12"/>
  <c r="AW80" i="12"/>
  <c r="AW81" i="12"/>
  <c r="AW82" i="12"/>
  <c r="AW83" i="12"/>
  <c r="AW84" i="12"/>
  <c r="AW85" i="12"/>
  <c r="AW86" i="12"/>
  <c r="AW87" i="12"/>
  <c r="AW88" i="12"/>
  <c r="AW89" i="12"/>
  <c r="AW90" i="12"/>
  <c r="AW91" i="12"/>
  <c r="AW92" i="12"/>
  <c r="AW93" i="12"/>
  <c r="AW94" i="12"/>
  <c r="AW95" i="12"/>
  <c r="AW96" i="12"/>
  <c r="AW97" i="12"/>
  <c r="AW98" i="12"/>
  <c r="AW99" i="12"/>
  <c r="AW100" i="12"/>
  <c r="AW101" i="12"/>
  <c r="AW102" i="12"/>
  <c r="AW103" i="12"/>
  <c r="AW104" i="12"/>
  <c r="AW105" i="12"/>
  <c r="AW106" i="12"/>
  <c r="AW107" i="12"/>
  <c r="AW108" i="12"/>
  <c r="AW109" i="12"/>
  <c r="AW110" i="12"/>
  <c r="AW111" i="12"/>
  <c r="AW112" i="12"/>
  <c r="AW113" i="12"/>
  <c r="AW114" i="12"/>
  <c r="AW115" i="12"/>
  <c r="AW116" i="12"/>
  <c r="AW117" i="12"/>
  <c r="AW118" i="12"/>
  <c r="AW119" i="12"/>
  <c r="AW120" i="12"/>
  <c r="AW121" i="12"/>
  <c r="AW122" i="12"/>
  <c r="AW123" i="12"/>
  <c r="AW124" i="12"/>
  <c r="AW125" i="12"/>
  <c r="AW126" i="12"/>
  <c r="AW127" i="12"/>
  <c r="AW128" i="12"/>
  <c r="AW129" i="12"/>
  <c r="AW130" i="12"/>
  <c r="AW131" i="12"/>
  <c r="AW132" i="12"/>
  <c r="AW133" i="12"/>
  <c r="AW134" i="12"/>
  <c r="AW135" i="12"/>
  <c r="AW136" i="12"/>
  <c r="AW137" i="12"/>
  <c r="AW138" i="12"/>
  <c r="AW139" i="12"/>
  <c r="AW140" i="12"/>
  <c r="AW141" i="12"/>
  <c r="AW142" i="12"/>
  <c r="AW143" i="12"/>
  <c r="AW144" i="12"/>
  <c r="AW145" i="12"/>
  <c r="AW146" i="12"/>
  <c r="AW147" i="12"/>
  <c r="AW148" i="12"/>
  <c r="AW149" i="12"/>
  <c r="AW150" i="12"/>
  <c r="AW151" i="12"/>
  <c r="AW152" i="12"/>
  <c r="AW153" i="12"/>
  <c r="AW154" i="12"/>
  <c r="AW155" i="12"/>
  <c r="AW156" i="12"/>
  <c r="AW157" i="12"/>
  <c r="AW158" i="12"/>
  <c r="AW159" i="12"/>
  <c r="AW160" i="12"/>
  <c r="AW161" i="12"/>
  <c r="AW162" i="12"/>
  <c r="AW163" i="12"/>
  <c r="AW164" i="12"/>
  <c r="AW165" i="12"/>
  <c r="AW166" i="12"/>
  <c r="AW167" i="12"/>
  <c r="AW168" i="12"/>
  <c r="AW169" i="12"/>
  <c r="AW170" i="12"/>
  <c r="AW171" i="12"/>
  <c r="AW172" i="12"/>
  <c r="AW173" i="12"/>
  <c r="AW174" i="12"/>
  <c r="AW175" i="12"/>
  <c r="AW176" i="12"/>
  <c r="AW177" i="12"/>
  <c r="AW178" i="12"/>
  <c r="AW179" i="12"/>
  <c r="AW180" i="12"/>
  <c r="AW181" i="12"/>
  <c r="AW182" i="12"/>
  <c r="AW183" i="12"/>
  <c r="AW184" i="12"/>
  <c r="AW185" i="12"/>
  <c r="AW186" i="12"/>
  <c r="AW187" i="12"/>
  <c r="AW188" i="12"/>
  <c r="AW189" i="12"/>
  <c r="AW190" i="12"/>
  <c r="AW191" i="12"/>
  <c r="AW192" i="12"/>
  <c r="AW193" i="12"/>
  <c r="AW194" i="12"/>
  <c r="AW195" i="12"/>
  <c r="AW196" i="12"/>
  <c r="AW197" i="12"/>
  <c r="AW198" i="12"/>
  <c r="AW199" i="12"/>
  <c r="AW200" i="12"/>
  <c r="AW201" i="12"/>
  <c r="AW202" i="12"/>
  <c r="AW203" i="12"/>
  <c r="AW204" i="12"/>
  <c r="AW205" i="12"/>
  <c r="AW206" i="12"/>
  <c r="AW207" i="12"/>
  <c r="AW208" i="12"/>
  <c r="AW209" i="12"/>
  <c r="AW210" i="12"/>
  <c r="AW211" i="12"/>
  <c r="AW212" i="12"/>
  <c r="AW213" i="12"/>
  <c r="AW214" i="12"/>
  <c r="AW215" i="12"/>
  <c r="AW216" i="12"/>
  <c r="AW217" i="12"/>
  <c r="AW218" i="12"/>
  <c r="AW219" i="12"/>
  <c r="AW220" i="12"/>
  <c r="AW221" i="12"/>
  <c r="AW222" i="12"/>
  <c r="AW223" i="12"/>
  <c r="AW224" i="12"/>
  <c r="AW225" i="12"/>
  <c r="AW226" i="12"/>
  <c r="AW227" i="12"/>
  <c r="AW228" i="12"/>
  <c r="AW229" i="12"/>
  <c r="AW230" i="12"/>
  <c r="AW231" i="12"/>
  <c r="AW232" i="12"/>
  <c r="AW233" i="12"/>
  <c r="AW234" i="12"/>
  <c r="AW235" i="12"/>
  <c r="AW236" i="12"/>
  <c r="AW237" i="12"/>
  <c r="AW238" i="12"/>
  <c r="AW239" i="12"/>
  <c r="AW240" i="12"/>
  <c r="AW241" i="12"/>
  <c r="AW242" i="12"/>
  <c r="AW243" i="12"/>
  <c r="AW244" i="12"/>
  <c r="AW245" i="12"/>
  <c r="AW246" i="12"/>
  <c r="AW247" i="12"/>
  <c r="AW248" i="12"/>
  <c r="AW249" i="12"/>
  <c r="AW250" i="12"/>
  <c r="AW251" i="12"/>
  <c r="AW252" i="12"/>
  <c r="AW253" i="12"/>
  <c r="AW254" i="12"/>
  <c r="AW255" i="12"/>
  <c r="AW256" i="12"/>
  <c r="AW257" i="12"/>
  <c r="AW258" i="12"/>
  <c r="AW259" i="12"/>
  <c r="AW260" i="12"/>
  <c r="AW261" i="12"/>
  <c r="AW262" i="12"/>
  <c r="AW263" i="12"/>
  <c r="AW264" i="12"/>
  <c r="AW265" i="12"/>
  <c r="AW266" i="12"/>
  <c r="AW267" i="12"/>
  <c r="AW268" i="12"/>
  <c r="AW269" i="12"/>
  <c r="AW270" i="12"/>
  <c r="AW271" i="12"/>
  <c r="AW272" i="12"/>
  <c r="AW273" i="12"/>
  <c r="AW274" i="12"/>
  <c r="AW275" i="12"/>
  <c r="AW276" i="12"/>
  <c r="AW277" i="12"/>
  <c r="AW278" i="12"/>
  <c r="AW279" i="12"/>
  <c r="AW280" i="12"/>
  <c r="AW281" i="12"/>
  <c r="AW282" i="12"/>
  <c r="AW283" i="12"/>
  <c r="AW284" i="12"/>
  <c r="AW285" i="12"/>
  <c r="AW286" i="12"/>
  <c r="AW287" i="12"/>
  <c r="AW288" i="12"/>
  <c r="AW289" i="12"/>
  <c r="AW290" i="12"/>
  <c r="AW291" i="12"/>
  <c r="AW292" i="12"/>
  <c r="AW293" i="12"/>
  <c r="AW294" i="12"/>
  <c r="AW295" i="12"/>
  <c r="AW296" i="12"/>
  <c r="AW297" i="12"/>
  <c r="AW298" i="12"/>
  <c r="AW299" i="12"/>
  <c r="AW300" i="12"/>
  <c r="AW301" i="12"/>
  <c r="AW2" i="12"/>
  <c r="AV3" i="12"/>
  <c r="AV4" i="12"/>
  <c r="AV5" i="12"/>
  <c r="AV6" i="12"/>
  <c r="AV7" i="12"/>
  <c r="AV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4" i="12"/>
  <c r="AV25" i="12"/>
  <c r="AV26" i="12"/>
  <c r="AV27" i="12"/>
  <c r="AV28" i="12"/>
  <c r="AV29" i="12"/>
  <c r="AV30" i="12"/>
  <c r="AV31" i="12"/>
  <c r="AV32" i="12"/>
  <c r="AV33" i="12"/>
  <c r="AV34" i="12"/>
  <c r="AV35" i="12"/>
  <c r="AV36" i="12"/>
  <c r="AV37" i="12"/>
  <c r="AV38" i="12"/>
  <c r="AV39" i="12"/>
  <c r="AV40" i="12"/>
  <c r="AV41" i="12"/>
  <c r="AV42" i="12"/>
  <c r="AV43" i="12"/>
  <c r="AV44" i="12"/>
  <c r="AV45" i="12"/>
  <c r="AV46" i="12"/>
  <c r="AV47" i="12"/>
  <c r="AV48" i="12"/>
  <c r="AV49" i="12"/>
  <c r="AV50" i="12"/>
  <c r="AV51" i="12"/>
  <c r="AV52" i="12"/>
  <c r="AV53" i="12"/>
  <c r="AV54" i="12"/>
  <c r="AV55" i="12"/>
  <c r="AV56" i="12"/>
  <c r="AV57" i="12"/>
  <c r="AV58" i="12"/>
  <c r="AV59" i="12"/>
  <c r="AV60" i="12"/>
  <c r="AV61" i="12"/>
  <c r="AV62" i="12"/>
  <c r="AV63" i="12"/>
  <c r="AV64" i="12"/>
  <c r="AV65" i="12"/>
  <c r="AV66" i="12"/>
  <c r="AV67" i="12"/>
  <c r="AV68" i="12"/>
  <c r="AV69" i="12"/>
  <c r="AV70" i="12"/>
  <c r="AV71" i="12"/>
  <c r="AV72" i="12"/>
  <c r="AV73" i="12"/>
  <c r="AV74" i="12"/>
  <c r="AV75" i="12"/>
  <c r="AV76" i="12"/>
  <c r="AV77" i="12"/>
  <c r="AV78" i="12"/>
  <c r="AV79" i="12"/>
  <c r="AV80" i="12"/>
  <c r="AV81" i="12"/>
  <c r="AV82" i="12"/>
  <c r="AV83" i="12"/>
  <c r="AV84" i="12"/>
  <c r="AV85" i="12"/>
  <c r="AV86" i="12"/>
  <c r="AV87" i="12"/>
  <c r="AV88" i="12"/>
  <c r="AV89" i="12"/>
  <c r="AV90" i="12"/>
  <c r="AV91" i="12"/>
  <c r="AV92" i="12"/>
  <c r="AV93" i="12"/>
  <c r="AV94" i="12"/>
  <c r="AV95" i="12"/>
  <c r="AV96" i="12"/>
  <c r="AV97" i="12"/>
  <c r="AV98" i="12"/>
  <c r="AV99" i="12"/>
  <c r="AV100" i="12"/>
  <c r="AV101" i="12"/>
  <c r="AV102" i="12"/>
  <c r="AV103" i="12"/>
  <c r="AV104" i="12"/>
  <c r="AV105" i="12"/>
  <c r="AV106" i="12"/>
  <c r="AV107" i="12"/>
  <c r="AV108" i="12"/>
  <c r="AV109" i="12"/>
  <c r="AV110" i="12"/>
  <c r="AV111" i="12"/>
  <c r="AV112" i="12"/>
  <c r="AV113" i="12"/>
  <c r="AV114" i="12"/>
  <c r="AV115" i="12"/>
  <c r="AV116" i="12"/>
  <c r="AV117" i="12"/>
  <c r="AV118" i="12"/>
  <c r="AV119" i="12"/>
  <c r="AV120" i="12"/>
  <c r="AV121" i="12"/>
  <c r="AV122" i="12"/>
  <c r="AV123" i="12"/>
  <c r="AV124" i="12"/>
  <c r="AV125" i="12"/>
  <c r="AV126" i="12"/>
  <c r="AV127" i="12"/>
  <c r="AV128" i="12"/>
  <c r="AV129" i="12"/>
  <c r="AV130" i="12"/>
  <c r="AV131" i="12"/>
  <c r="AV132" i="12"/>
  <c r="AV133" i="12"/>
  <c r="AV134" i="12"/>
  <c r="AV135" i="12"/>
  <c r="AV136" i="12"/>
  <c r="AV137" i="12"/>
  <c r="AV138" i="12"/>
  <c r="AV139" i="12"/>
  <c r="AV140" i="12"/>
  <c r="AV141" i="12"/>
  <c r="AV142" i="12"/>
  <c r="AV143" i="12"/>
  <c r="AV144" i="12"/>
  <c r="AV145" i="12"/>
  <c r="AV146" i="12"/>
  <c r="AV147" i="12"/>
  <c r="AV148" i="12"/>
  <c r="AV149" i="12"/>
  <c r="AV150" i="12"/>
  <c r="AV151" i="12"/>
  <c r="AV152" i="12"/>
  <c r="AV153" i="12"/>
  <c r="AV154" i="12"/>
  <c r="AV155" i="12"/>
  <c r="AV156" i="12"/>
  <c r="AV157" i="12"/>
  <c r="AV158" i="12"/>
  <c r="AV159" i="12"/>
  <c r="AV160" i="12"/>
  <c r="AV161" i="12"/>
  <c r="AV162" i="12"/>
  <c r="AV163" i="12"/>
  <c r="AV164" i="12"/>
  <c r="AV165" i="12"/>
  <c r="AV166" i="12"/>
  <c r="AV167" i="12"/>
  <c r="AV168" i="12"/>
  <c r="AV169" i="12"/>
  <c r="AV170" i="12"/>
  <c r="AV171" i="12"/>
  <c r="AV172" i="12"/>
  <c r="AV173" i="12"/>
  <c r="AV174" i="12"/>
  <c r="AV175" i="12"/>
  <c r="AV176" i="12"/>
  <c r="AV177" i="12"/>
  <c r="AV178" i="12"/>
  <c r="AV179" i="12"/>
  <c r="AV180" i="12"/>
  <c r="AV181" i="12"/>
  <c r="AV182" i="12"/>
  <c r="AV183" i="12"/>
  <c r="AV184" i="12"/>
  <c r="AV185" i="12"/>
  <c r="AV186" i="12"/>
  <c r="AV187" i="12"/>
  <c r="AV188" i="12"/>
  <c r="AV189" i="12"/>
  <c r="AV190" i="12"/>
  <c r="AV191" i="12"/>
  <c r="AV192" i="12"/>
  <c r="AV193" i="12"/>
  <c r="AV194" i="12"/>
  <c r="AV195" i="12"/>
  <c r="AV196" i="12"/>
  <c r="AV197" i="12"/>
  <c r="AV198" i="12"/>
  <c r="AV199" i="12"/>
  <c r="AV200" i="12"/>
  <c r="AV201" i="12"/>
  <c r="AV202" i="12"/>
  <c r="AV203" i="12"/>
  <c r="AV204" i="12"/>
  <c r="AV205" i="12"/>
  <c r="AV206" i="12"/>
  <c r="AV207" i="12"/>
  <c r="AV208" i="12"/>
  <c r="AV209" i="12"/>
  <c r="AV210" i="12"/>
  <c r="AV211" i="12"/>
  <c r="AV212" i="12"/>
  <c r="AV213" i="12"/>
  <c r="AV214" i="12"/>
  <c r="AV215" i="12"/>
  <c r="AV216" i="12"/>
  <c r="AV217" i="12"/>
  <c r="AV218" i="12"/>
  <c r="AV219" i="12"/>
  <c r="AV220" i="12"/>
  <c r="AV221" i="12"/>
  <c r="AV222" i="12"/>
  <c r="AV223" i="12"/>
  <c r="AV224" i="12"/>
  <c r="AV225" i="12"/>
  <c r="AV226" i="12"/>
  <c r="AV227" i="12"/>
  <c r="AV228" i="12"/>
  <c r="AV229" i="12"/>
  <c r="AV230" i="12"/>
  <c r="AV231" i="12"/>
  <c r="AV232" i="12"/>
  <c r="AV233" i="12"/>
  <c r="AV234" i="12"/>
  <c r="AV235" i="12"/>
  <c r="AV236" i="12"/>
  <c r="AV237" i="12"/>
  <c r="AV238" i="12"/>
  <c r="AV239" i="12"/>
  <c r="AV240" i="12"/>
  <c r="AV241" i="12"/>
  <c r="AV242" i="12"/>
  <c r="AV243" i="12"/>
  <c r="AV244" i="12"/>
  <c r="AV245" i="12"/>
  <c r="AV246" i="12"/>
  <c r="AV247" i="12"/>
  <c r="AV248" i="12"/>
  <c r="AV249" i="12"/>
  <c r="AV250" i="12"/>
  <c r="AV251" i="12"/>
  <c r="AV252" i="12"/>
  <c r="AV253" i="12"/>
  <c r="AV254" i="12"/>
  <c r="AV255" i="12"/>
  <c r="AV256" i="12"/>
  <c r="AV257" i="12"/>
  <c r="AV258" i="12"/>
  <c r="AV259" i="12"/>
  <c r="AV260" i="12"/>
  <c r="AV261" i="12"/>
  <c r="AV262" i="12"/>
  <c r="AV263" i="12"/>
  <c r="AV264" i="12"/>
  <c r="AV265" i="12"/>
  <c r="AV266" i="12"/>
  <c r="AV267" i="12"/>
  <c r="AV268" i="12"/>
  <c r="AV269" i="12"/>
  <c r="AV270" i="12"/>
  <c r="AV271" i="12"/>
  <c r="AV272" i="12"/>
  <c r="AV273" i="12"/>
  <c r="AV274" i="12"/>
  <c r="AV275" i="12"/>
  <c r="AV276" i="12"/>
  <c r="AV277" i="12"/>
  <c r="AV278" i="12"/>
  <c r="AV279" i="12"/>
  <c r="AV280" i="12"/>
  <c r="AV281" i="12"/>
  <c r="AV282" i="12"/>
  <c r="AV283" i="12"/>
  <c r="AV284" i="12"/>
  <c r="AV285" i="12"/>
  <c r="AV286" i="12"/>
  <c r="AV287" i="12"/>
  <c r="AV288" i="12"/>
  <c r="AV289" i="12"/>
  <c r="AV290" i="12"/>
  <c r="AV291" i="12"/>
  <c r="AV292" i="12"/>
  <c r="AV293" i="12"/>
  <c r="AV294" i="12"/>
  <c r="AV295" i="12"/>
  <c r="AV296" i="12"/>
  <c r="AV297" i="12"/>
  <c r="AV298" i="12"/>
  <c r="AV299" i="12"/>
  <c r="AV300" i="12"/>
  <c r="AV2" i="12"/>
  <c r="AU3" i="12"/>
  <c r="AU4" i="12"/>
  <c r="AU5" i="12"/>
  <c r="AU6" i="12"/>
  <c r="AU7" i="12"/>
  <c r="AU8" i="12"/>
  <c r="AU9" i="12"/>
  <c r="AU10" i="12"/>
  <c r="AU11" i="12"/>
  <c r="AU12" i="12"/>
  <c r="AU13" i="12"/>
  <c r="AU14" i="12"/>
  <c r="AU15" i="12"/>
  <c r="AU16" i="12"/>
  <c r="AU17" i="12"/>
  <c r="AU18" i="12"/>
  <c r="AU19" i="12"/>
  <c r="AU20" i="12"/>
  <c r="AU21" i="12"/>
  <c r="AU22" i="12"/>
  <c r="AU23" i="12"/>
  <c r="AU24" i="12"/>
  <c r="AU25" i="12"/>
  <c r="AU26" i="12"/>
  <c r="AU27" i="12"/>
  <c r="AU28" i="12"/>
  <c r="AU29" i="12"/>
  <c r="AU30" i="12"/>
  <c r="AU31" i="12"/>
  <c r="AU32" i="12"/>
  <c r="AU33" i="12"/>
  <c r="AU34" i="12"/>
  <c r="AU35" i="12"/>
  <c r="AU36" i="12"/>
  <c r="AU37" i="12"/>
  <c r="AU38" i="12"/>
  <c r="AU39" i="12"/>
  <c r="AU40" i="12"/>
  <c r="AU41" i="12"/>
  <c r="AU42" i="12"/>
  <c r="AU43" i="12"/>
  <c r="AU44" i="12"/>
  <c r="AU45" i="12"/>
  <c r="AU46" i="12"/>
  <c r="AU47" i="12"/>
  <c r="AU48" i="12"/>
  <c r="AU49" i="12"/>
  <c r="AU50" i="12"/>
  <c r="AU51" i="12"/>
  <c r="AU52" i="12"/>
  <c r="AU53" i="12"/>
  <c r="AU54" i="12"/>
  <c r="AU55" i="12"/>
  <c r="AU56" i="12"/>
  <c r="AU57" i="12"/>
  <c r="AU58" i="12"/>
  <c r="AU59" i="12"/>
  <c r="AU60" i="12"/>
  <c r="AU61" i="12"/>
  <c r="AU62" i="12"/>
  <c r="AU63" i="12"/>
  <c r="AU64" i="12"/>
  <c r="AU65" i="12"/>
  <c r="AU66" i="12"/>
  <c r="AU67" i="12"/>
  <c r="AU68" i="12"/>
  <c r="AU69" i="12"/>
  <c r="AU70" i="12"/>
  <c r="AU71" i="12"/>
  <c r="AU72" i="12"/>
  <c r="AU73" i="12"/>
  <c r="AU74" i="12"/>
  <c r="AU75" i="12"/>
  <c r="AU76" i="12"/>
  <c r="AU77" i="12"/>
  <c r="AU78" i="12"/>
  <c r="AU79" i="12"/>
  <c r="AU80" i="12"/>
  <c r="AU81" i="12"/>
  <c r="AU82" i="12"/>
  <c r="AU83" i="12"/>
  <c r="AU84" i="12"/>
  <c r="AU85" i="12"/>
  <c r="AU86" i="12"/>
  <c r="AU87" i="12"/>
  <c r="AU88" i="12"/>
  <c r="AU89" i="12"/>
  <c r="AU90" i="12"/>
  <c r="AU91" i="12"/>
  <c r="AU92" i="12"/>
  <c r="AU93" i="12"/>
  <c r="AU94" i="12"/>
  <c r="AU95" i="12"/>
  <c r="AU96" i="12"/>
  <c r="AU97" i="12"/>
  <c r="AU98" i="12"/>
  <c r="AU99" i="12"/>
  <c r="AU100" i="12"/>
  <c r="AU101" i="12"/>
  <c r="AU102" i="12"/>
  <c r="AU103" i="12"/>
  <c r="AU104" i="12"/>
  <c r="AU105" i="12"/>
  <c r="AU106" i="12"/>
  <c r="AU107" i="12"/>
  <c r="AU108" i="12"/>
  <c r="AU109" i="12"/>
  <c r="AU110" i="12"/>
  <c r="AU111" i="12"/>
  <c r="AU112" i="12"/>
  <c r="AU113" i="12"/>
  <c r="AU114" i="12"/>
  <c r="AU115" i="12"/>
  <c r="AU116" i="12"/>
  <c r="AU117" i="12"/>
  <c r="AU118" i="12"/>
  <c r="AU119" i="12"/>
  <c r="AU120" i="12"/>
  <c r="AU121" i="12"/>
  <c r="AU122" i="12"/>
  <c r="AU123" i="12"/>
  <c r="AU124" i="12"/>
  <c r="AU125" i="12"/>
  <c r="AU126" i="12"/>
  <c r="AU127" i="12"/>
  <c r="AU128" i="12"/>
  <c r="AU129" i="12"/>
  <c r="AU130" i="12"/>
  <c r="AU131" i="12"/>
  <c r="AU132" i="12"/>
  <c r="AU133" i="12"/>
  <c r="AU134" i="12"/>
  <c r="AU135" i="12"/>
  <c r="AU136" i="12"/>
  <c r="AU137" i="12"/>
  <c r="AU138" i="12"/>
  <c r="AU139" i="12"/>
  <c r="AU140" i="12"/>
  <c r="AU141" i="12"/>
  <c r="AU142" i="12"/>
  <c r="AU143" i="12"/>
  <c r="AU144" i="12"/>
  <c r="AU145" i="12"/>
  <c r="AU146" i="12"/>
  <c r="AU147" i="12"/>
  <c r="AU148" i="12"/>
  <c r="AU149" i="12"/>
  <c r="AU150" i="12"/>
  <c r="AU151" i="12"/>
  <c r="AU152" i="12"/>
  <c r="AU153" i="12"/>
  <c r="AU154" i="12"/>
  <c r="AU155" i="12"/>
  <c r="AU156" i="12"/>
  <c r="AU157" i="12"/>
  <c r="AU158" i="12"/>
  <c r="AU159" i="12"/>
  <c r="AU160" i="12"/>
  <c r="AU161" i="12"/>
  <c r="AU162" i="12"/>
  <c r="AU163" i="12"/>
  <c r="AU164" i="12"/>
  <c r="AU165" i="12"/>
  <c r="AU166" i="12"/>
  <c r="AU167" i="12"/>
  <c r="AU168" i="12"/>
  <c r="AU169" i="12"/>
  <c r="AU170" i="12"/>
  <c r="AU171" i="12"/>
  <c r="AU172" i="12"/>
  <c r="AU173" i="12"/>
  <c r="AU174" i="12"/>
  <c r="AU175" i="12"/>
  <c r="AU176" i="12"/>
  <c r="AU177" i="12"/>
  <c r="AU178" i="12"/>
  <c r="AU179" i="12"/>
  <c r="AU180" i="12"/>
  <c r="AU181" i="12"/>
  <c r="AU182" i="12"/>
  <c r="AU183" i="12"/>
  <c r="AU184" i="12"/>
  <c r="AU185" i="12"/>
  <c r="AU186" i="12"/>
  <c r="AU187" i="12"/>
  <c r="AU188" i="12"/>
  <c r="AU189" i="12"/>
  <c r="AU190" i="12"/>
  <c r="AU191" i="12"/>
  <c r="AU192" i="12"/>
  <c r="AU193" i="12"/>
  <c r="AU194" i="12"/>
  <c r="AU195" i="12"/>
  <c r="AU196" i="12"/>
  <c r="AU197" i="12"/>
  <c r="AU198" i="12"/>
  <c r="AU199" i="12"/>
  <c r="AU200" i="12"/>
  <c r="AU201" i="12"/>
  <c r="AU202" i="12"/>
  <c r="AU203" i="12"/>
  <c r="AU204" i="12"/>
  <c r="AU205" i="12"/>
  <c r="AU206" i="12"/>
  <c r="AU207" i="12"/>
  <c r="AU208" i="12"/>
  <c r="AU209" i="12"/>
  <c r="AU210" i="12"/>
  <c r="AU211" i="12"/>
  <c r="AU212" i="12"/>
  <c r="AU213" i="12"/>
  <c r="AU214" i="12"/>
  <c r="AU215" i="12"/>
  <c r="AU216" i="12"/>
  <c r="AU217" i="12"/>
  <c r="AU218" i="12"/>
  <c r="AU219" i="12"/>
  <c r="AU220" i="12"/>
  <c r="AU221" i="12"/>
  <c r="AU222" i="12"/>
  <c r="AU223" i="12"/>
  <c r="AU224" i="12"/>
  <c r="AU225" i="12"/>
  <c r="AU226" i="12"/>
  <c r="AU227" i="12"/>
  <c r="AU228" i="12"/>
  <c r="AU229" i="12"/>
  <c r="AU230" i="12"/>
  <c r="AU231" i="12"/>
  <c r="AU232" i="12"/>
  <c r="AU233" i="12"/>
  <c r="AU234" i="12"/>
  <c r="AU235" i="12"/>
  <c r="AU236" i="12"/>
  <c r="AU237" i="12"/>
  <c r="AU238" i="12"/>
  <c r="AU239" i="12"/>
  <c r="AU240" i="12"/>
  <c r="AU241" i="12"/>
  <c r="AU242" i="12"/>
  <c r="AU243" i="12"/>
  <c r="AU244" i="12"/>
  <c r="AU245" i="12"/>
  <c r="AU246" i="12"/>
  <c r="AU247" i="12"/>
  <c r="AU248" i="12"/>
  <c r="AU249" i="12"/>
  <c r="AU250" i="12"/>
  <c r="AU251" i="12"/>
  <c r="AU252" i="12"/>
  <c r="AU253" i="12"/>
  <c r="AU254" i="12"/>
  <c r="AU255" i="12"/>
  <c r="AU256" i="12"/>
  <c r="AU257" i="12"/>
  <c r="AU258" i="12"/>
  <c r="AU259" i="12"/>
  <c r="AU260" i="12"/>
  <c r="AU261" i="12"/>
  <c r="AU262" i="12"/>
  <c r="AU263" i="12"/>
  <c r="AU264" i="12"/>
  <c r="AU265" i="12"/>
  <c r="AU266" i="12"/>
  <c r="AU267" i="12"/>
  <c r="AU268" i="12"/>
  <c r="AU269" i="12"/>
  <c r="AU270" i="12"/>
  <c r="AU271" i="12"/>
  <c r="AU272" i="12"/>
  <c r="AU273" i="12"/>
  <c r="AU274" i="12"/>
  <c r="AU275" i="12"/>
  <c r="AU276" i="12"/>
  <c r="AU277" i="12"/>
  <c r="AU278" i="12"/>
  <c r="AU279" i="12"/>
  <c r="AU280" i="12"/>
  <c r="AU281" i="12"/>
  <c r="AU282" i="12"/>
  <c r="AU283" i="12"/>
  <c r="AU284" i="12"/>
  <c r="AU285" i="12"/>
  <c r="AU286" i="12"/>
  <c r="AU287" i="12"/>
  <c r="AU288" i="12"/>
  <c r="AU289" i="12"/>
  <c r="AU290" i="12"/>
  <c r="AU291" i="12"/>
  <c r="AU292" i="12"/>
  <c r="AU293" i="12"/>
  <c r="AU294" i="12"/>
  <c r="AU295" i="12"/>
  <c r="AU296" i="12"/>
  <c r="AU297" i="12"/>
  <c r="AU298" i="12"/>
  <c r="AU299" i="12"/>
  <c r="AU300" i="12"/>
  <c r="AU301" i="12"/>
  <c r="AU2" i="12"/>
  <c r="AT3" i="12"/>
  <c r="AT4" i="12"/>
  <c r="AT5" i="12"/>
  <c r="AT6" i="12"/>
  <c r="AT7" i="12"/>
  <c r="AT8" i="12"/>
  <c r="AT9" i="12"/>
  <c r="AT10" i="12"/>
  <c r="AT11" i="12"/>
  <c r="AT12" i="12"/>
  <c r="AT13" i="12"/>
  <c r="AT14" i="12"/>
  <c r="AT15" i="12"/>
  <c r="AT16" i="12"/>
  <c r="AT17" i="12"/>
  <c r="AT18" i="12"/>
  <c r="AT19" i="12"/>
  <c r="AT20" i="12"/>
  <c r="AT21" i="12"/>
  <c r="AT22" i="12"/>
  <c r="AT23" i="12"/>
  <c r="AT24" i="12"/>
  <c r="AT25" i="12"/>
  <c r="AT26" i="12"/>
  <c r="AT27" i="12"/>
  <c r="AT28" i="12"/>
  <c r="AT29" i="12"/>
  <c r="AT30" i="12"/>
  <c r="AT31" i="12"/>
  <c r="AT32" i="12"/>
  <c r="AT33" i="12"/>
  <c r="AT34" i="12"/>
  <c r="AT35" i="12"/>
  <c r="AT36" i="12"/>
  <c r="AT37" i="12"/>
  <c r="AT38" i="12"/>
  <c r="AT39" i="12"/>
  <c r="AT40" i="12"/>
  <c r="AT41" i="12"/>
  <c r="AT42" i="12"/>
  <c r="AT43" i="12"/>
  <c r="AT44" i="12"/>
  <c r="AT45" i="12"/>
  <c r="AT46" i="12"/>
  <c r="AT47" i="12"/>
  <c r="AT48" i="12"/>
  <c r="AT49" i="12"/>
  <c r="AT50" i="12"/>
  <c r="AT51" i="12"/>
  <c r="AT52" i="12"/>
  <c r="AT53" i="12"/>
  <c r="AT54" i="12"/>
  <c r="AT55" i="12"/>
  <c r="AT56" i="12"/>
  <c r="AT57" i="12"/>
  <c r="AT58" i="12"/>
  <c r="AT59" i="12"/>
  <c r="AT60" i="12"/>
  <c r="AT61" i="12"/>
  <c r="AT62" i="12"/>
  <c r="AT63" i="12"/>
  <c r="AT64" i="12"/>
  <c r="AT65" i="12"/>
  <c r="AT66" i="12"/>
  <c r="AT67" i="12"/>
  <c r="AT68" i="12"/>
  <c r="AT69" i="12"/>
  <c r="AT70" i="12"/>
  <c r="AT71" i="12"/>
  <c r="AT72" i="12"/>
  <c r="AT73" i="12"/>
  <c r="AT74" i="12"/>
  <c r="AT75" i="12"/>
  <c r="AT76" i="12"/>
  <c r="AT77" i="12"/>
  <c r="AT78" i="12"/>
  <c r="AT79" i="12"/>
  <c r="AT80" i="12"/>
  <c r="AT81" i="12"/>
  <c r="AT82" i="12"/>
  <c r="AT83" i="12"/>
  <c r="AT84" i="12"/>
  <c r="AT85" i="12"/>
  <c r="AT86" i="12"/>
  <c r="AT87" i="12"/>
  <c r="AT88" i="12"/>
  <c r="AT89" i="12"/>
  <c r="AT90" i="12"/>
  <c r="AT91" i="12"/>
  <c r="AT92" i="12"/>
  <c r="AT93" i="12"/>
  <c r="AT94" i="12"/>
  <c r="AT95" i="12"/>
  <c r="AT96" i="12"/>
  <c r="AT97" i="12"/>
  <c r="AT98" i="12"/>
  <c r="AT99" i="12"/>
  <c r="AT100" i="12"/>
  <c r="AT101" i="12"/>
  <c r="AT102" i="12"/>
  <c r="AT103" i="12"/>
  <c r="AT104" i="12"/>
  <c r="AT105" i="12"/>
  <c r="AT106" i="12"/>
  <c r="AT107" i="12"/>
  <c r="AT108" i="12"/>
  <c r="AT109" i="12"/>
  <c r="AT110" i="12"/>
  <c r="AT111" i="12"/>
  <c r="AT112" i="12"/>
  <c r="AT113" i="12"/>
  <c r="AT114" i="12"/>
  <c r="AT115" i="12"/>
  <c r="AT116" i="12"/>
  <c r="AT117" i="12"/>
  <c r="AT118" i="12"/>
  <c r="AT119" i="12"/>
  <c r="AT120" i="12"/>
  <c r="AT121" i="12"/>
  <c r="AT122" i="12"/>
  <c r="AT123" i="12"/>
  <c r="AT124" i="12"/>
  <c r="AT125" i="12"/>
  <c r="AT126" i="12"/>
  <c r="AT127" i="12"/>
  <c r="AT128" i="12"/>
  <c r="AT129" i="12"/>
  <c r="AT130" i="12"/>
  <c r="AT131" i="12"/>
  <c r="AT132" i="12"/>
  <c r="AT133" i="12"/>
  <c r="AT134" i="12"/>
  <c r="AT135" i="12"/>
  <c r="AT136" i="12"/>
  <c r="AT137" i="12"/>
  <c r="AT138" i="12"/>
  <c r="AT139" i="12"/>
  <c r="AT140" i="12"/>
  <c r="AT141" i="12"/>
  <c r="AT142" i="12"/>
  <c r="AT143" i="12"/>
  <c r="AT144" i="12"/>
  <c r="AT145" i="12"/>
  <c r="AT146" i="12"/>
  <c r="AT147" i="12"/>
  <c r="AT148" i="12"/>
  <c r="AT149" i="12"/>
  <c r="AT150" i="12"/>
  <c r="AT151" i="12"/>
  <c r="AT152" i="12"/>
  <c r="AT153" i="12"/>
  <c r="AT154" i="12"/>
  <c r="AT155" i="12"/>
  <c r="AT156" i="12"/>
  <c r="AT157" i="12"/>
  <c r="AT158" i="12"/>
  <c r="AT159" i="12"/>
  <c r="AT160" i="12"/>
  <c r="AT161" i="12"/>
  <c r="AT162" i="12"/>
  <c r="AT163" i="12"/>
  <c r="AT164" i="12"/>
  <c r="AT165" i="12"/>
  <c r="AT166" i="12"/>
  <c r="AT167" i="12"/>
  <c r="AT168" i="12"/>
  <c r="AT169" i="12"/>
  <c r="AT170" i="12"/>
  <c r="AT171" i="12"/>
  <c r="AT172" i="12"/>
  <c r="AT173" i="12"/>
  <c r="AT174" i="12"/>
  <c r="AT175" i="12"/>
  <c r="AT176" i="12"/>
  <c r="AT177" i="12"/>
  <c r="AT178" i="12"/>
  <c r="AT179" i="12"/>
  <c r="AT180" i="12"/>
  <c r="AT181" i="12"/>
  <c r="AT182" i="12"/>
  <c r="AT183" i="12"/>
  <c r="AT184" i="12"/>
  <c r="AT185" i="12"/>
  <c r="AT186" i="12"/>
  <c r="AT187" i="12"/>
  <c r="AT188" i="12"/>
  <c r="AT189" i="12"/>
  <c r="AT190" i="12"/>
  <c r="AT191" i="12"/>
  <c r="AT192" i="12"/>
  <c r="AT193" i="12"/>
  <c r="AT194" i="12"/>
  <c r="AT195" i="12"/>
  <c r="AT196" i="12"/>
  <c r="AT197" i="12"/>
  <c r="AT198" i="12"/>
  <c r="AT199" i="12"/>
  <c r="AT200" i="12"/>
  <c r="AT201" i="12"/>
  <c r="AT202" i="12"/>
  <c r="AT203" i="12"/>
  <c r="AT204" i="12"/>
  <c r="AT205" i="12"/>
  <c r="AT206" i="12"/>
  <c r="AT207" i="12"/>
  <c r="AT208" i="12"/>
  <c r="AT209" i="12"/>
  <c r="AT210" i="12"/>
  <c r="AT211" i="12"/>
  <c r="AT212" i="12"/>
  <c r="AT213" i="12"/>
  <c r="AT214" i="12"/>
  <c r="AT215" i="12"/>
  <c r="AT216" i="12"/>
  <c r="AT217" i="12"/>
  <c r="AT218" i="12"/>
  <c r="AT219" i="12"/>
  <c r="AT220" i="12"/>
  <c r="AT221" i="12"/>
  <c r="AT222" i="12"/>
  <c r="AT223" i="12"/>
  <c r="AT224" i="12"/>
  <c r="AT225" i="12"/>
  <c r="AT226" i="12"/>
  <c r="AT227" i="12"/>
  <c r="AT228" i="12"/>
  <c r="AT229" i="12"/>
  <c r="AT230" i="12"/>
  <c r="AT231" i="12"/>
  <c r="AT232" i="12"/>
  <c r="AT233" i="12"/>
  <c r="AT234" i="12"/>
  <c r="AT235" i="12"/>
  <c r="AT236" i="12"/>
  <c r="AT237" i="12"/>
  <c r="AT238" i="12"/>
  <c r="AT239" i="12"/>
  <c r="AT240" i="12"/>
  <c r="AT241" i="12"/>
  <c r="AT242" i="12"/>
  <c r="AT243" i="12"/>
  <c r="AT244" i="12"/>
  <c r="AT245" i="12"/>
  <c r="AT246" i="12"/>
  <c r="AT247" i="12"/>
  <c r="AT248" i="12"/>
  <c r="AT249" i="12"/>
  <c r="AT250" i="12"/>
  <c r="AT251" i="12"/>
  <c r="AT252" i="12"/>
  <c r="AT253" i="12"/>
  <c r="AT254" i="12"/>
  <c r="AT255" i="12"/>
  <c r="AT256" i="12"/>
  <c r="AT257" i="12"/>
  <c r="AT258" i="12"/>
  <c r="AT259" i="12"/>
  <c r="AT260" i="12"/>
  <c r="AT261" i="12"/>
  <c r="AT262" i="12"/>
  <c r="AT263" i="12"/>
  <c r="AT264" i="12"/>
  <c r="AT265" i="12"/>
  <c r="AT266" i="12"/>
  <c r="AT267" i="12"/>
  <c r="AT268" i="12"/>
  <c r="AT269" i="12"/>
  <c r="AT270" i="12"/>
  <c r="AT271" i="12"/>
  <c r="AT272" i="12"/>
  <c r="AT273" i="12"/>
  <c r="AT274" i="12"/>
  <c r="AT275" i="12"/>
  <c r="AT276" i="12"/>
  <c r="AT277" i="12"/>
  <c r="AT278" i="12"/>
  <c r="AT279" i="12"/>
  <c r="AT280" i="12"/>
  <c r="AT281" i="12"/>
  <c r="AT282" i="12"/>
  <c r="AT283" i="12"/>
  <c r="AT284" i="12"/>
  <c r="AT285" i="12"/>
  <c r="AT286" i="12"/>
  <c r="AT287" i="12"/>
  <c r="AT288" i="12"/>
  <c r="AT289" i="12"/>
  <c r="AT290" i="12"/>
  <c r="AT291" i="12"/>
  <c r="AT292" i="12"/>
  <c r="AT293" i="12"/>
  <c r="AT294" i="12"/>
  <c r="AT295" i="12"/>
  <c r="AT296" i="12"/>
  <c r="AT297" i="12"/>
  <c r="AT298" i="12"/>
  <c r="AT299" i="12"/>
  <c r="AT300" i="12"/>
  <c r="AT301" i="12"/>
  <c r="AT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33" i="12"/>
  <c r="AS34" i="12"/>
  <c r="AS35" i="12"/>
  <c r="AS36" i="12"/>
  <c r="AS37" i="12"/>
  <c r="AS38" i="12"/>
  <c r="AS39" i="12"/>
  <c r="AS40" i="12"/>
  <c r="AS41" i="12"/>
  <c r="AS42" i="12"/>
  <c r="AS43" i="12"/>
  <c r="AS44" i="12"/>
  <c r="AS45" i="12"/>
  <c r="AS46" i="12"/>
  <c r="AS47" i="12"/>
  <c r="AS48" i="12"/>
  <c r="AS49" i="12"/>
  <c r="AS50" i="12"/>
  <c r="AS51" i="12"/>
  <c r="AS52" i="12"/>
  <c r="AS53" i="12"/>
  <c r="AS54" i="12"/>
  <c r="AS55" i="12"/>
  <c r="AS56" i="12"/>
  <c r="AS57" i="12"/>
  <c r="AS58" i="12"/>
  <c r="AS59" i="12"/>
  <c r="AS60" i="12"/>
  <c r="AS61" i="12"/>
  <c r="AS62" i="12"/>
  <c r="AS63" i="12"/>
  <c r="AS64" i="12"/>
  <c r="AS65" i="12"/>
  <c r="AS66" i="12"/>
  <c r="AS67" i="12"/>
  <c r="AS68" i="12"/>
  <c r="AS69" i="12"/>
  <c r="AS70" i="12"/>
  <c r="AS71" i="12"/>
  <c r="AS72" i="12"/>
  <c r="AS73" i="12"/>
  <c r="AS74" i="12"/>
  <c r="AS75" i="12"/>
  <c r="AS76" i="12"/>
  <c r="AS77" i="12"/>
  <c r="AS78" i="12"/>
  <c r="AS79" i="12"/>
  <c r="AS80" i="12"/>
  <c r="AS81" i="12"/>
  <c r="AS82" i="12"/>
  <c r="AS83" i="12"/>
  <c r="AS84" i="12"/>
  <c r="AS85" i="12"/>
  <c r="AS86" i="12"/>
  <c r="AS87" i="12"/>
  <c r="AS88" i="12"/>
  <c r="AS89" i="12"/>
  <c r="AS90" i="12"/>
  <c r="AS91" i="12"/>
  <c r="AS92" i="12"/>
  <c r="AS93" i="12"/>
  <c r="AS94" i="12"/>
  <c r="AS95" i="12"/>
  <c r="AS96" i="12"/>
  <c r="AS97" i="12"/>
  <c r="AS98" i="12"/>
  <c r="AS99" i="12"/>
  <c r="AS100" i="12"/>
  <c r="AS101" i="12"/>
  <c r="AS102" i="12"/>
  <c r="AS103" i="12"/>
  <c r="AS104" i="12"/>
  <c r="AS105" i="12"/>
  <c r="AS106" i="12"/>
  <c r="AS107" i="12"/>
  <c r="AS108" i="12"/>
  <c r="AS109" i="12"/>
  <c r="AS110" i="12"/>
  <c r="AS111" i="12"/>
  <c r="AS112" i="12"/>
  <c r="AS113" i="12"/>
  <c r="AS114" i="12"/>
  <c r="AS115" i="12"/>
  <c r="AS116" i="12"/>
  <c r="AS117" i="12"/>
  <c r="AS118" i="12"/>
  <c r="AS119" i="12"/>
  <c r="AS120" i="12"/>
  <c r="AS121" i="12"/>
  <c r="AS122" i="12"/>
  <c r="AS123" i="12"/>
  <c r="AS124" i="12"/>
  <c r="AS125" i="12"/>
  <c r="AS126" i="12"/>
  <c r="AS127" i="12"/>
  <c r="AS128" i="12"/>
  <c r="AS129" i="12"/>
  <c r="AS130" i="12"/>
  <c r="AS131" i="12"/>
  <c r="AS132" i="12"/>
  <c r="AS133" i="12"/>
  <c r="AS134" i="12"/>
  <c r="AS135" i="12"/>
  <c r="AS136" i="12"/>
  <c r="AS137" i="12"/>
  <c r="AS138" i="12"/>
  <c r="AS139" i="12"/>
  <c r="AS140" i="12"/>
  <c r="AS141" i="12"/>
  <c r="AS142" i="12"/>
  <c r="AS143" i="12"/>
  <c r="AS144" i="12"/>
  <c r="AS145" i="12"/>
  <c r="AS146" i="12"/>
  <c r="AS147" i="12"/>
  <c r="AS148" i="12"/>
  <c r="AS149" i="12"/>
  <c r="AS150" i="12"/>
  <c r="AS151" i="12"/>
  <c r="AS152" i="12"/>
  <c r="AS153" i="12"/>
  <c r="AS154" i="12"/>
  <c r="AS155" i="12"/>
  <c r="AS156" i="12"/>
  <c r="AS157" i="12"/>
  <c r="AS158" i="12"/>
  <c r="AS159" i="12"/>
  <c r="AS160" i="12"/>
  <c r="AS161" i="12"/>
  <c r="AS162" i="12"/>
  <c r="AS163" i="12"/>
  <c r="AS164" i="12"/>
  <c r="AS165" i="12"/>
  <c r="AS166" i="12"/>
  <c r="AS167" i="12"/>
  <c r="AS168" i="12"/>
  <c r="AS169" i="12"/>
  <c r="AS170" i="12"/>
  <c r="AS171" i="12"/>
  <c r="AS172" i="12"/>
  <c r="AS173" i="12"/>
  <c r="AS174" i="12"/>
  <c r="AS175" i="12"/>
  <c r="AS176" i="12"/>
  <c r="AS177" i="12"/>
  <c r="AS178" i="12"/>
  <c r="AS179" i="12"/>
  <c r="AS180" i="12"/>
  <c r="AS181" i="12"/>
  <c r="AS182" i="12"/>
  <c r="AS183" i="12"/>
  <c r="AS184" i="12"/>
  <c r="AS185" i="12"/>
  <c r="AS186" i="12"/>
  <c r="AS187" i="12"/>
  <c r="AS188" i="12"/>
  <c r="AS189" i="12"/>
  <c r="AS190" i="12"/>
  <c r="AS191" i="12"/>
  <c r="AS192" i="12"/>
  <c r="AS193" i="12"/>
  <c r="AS194" i="12"/>
  <c r="AS195" i="12"/>
  <c r="AS196" i="12"/>
  <c r="AS197" i="12"/>
  <c r="AS198" i="12"/>
  <c r="AS199" i="12"/>
  <c r="AS200" i="12"/>
  <c r="AS201" i="12"/>
  <c r="AS202" i="12"/>
  <c r="AS203" i="12"/>
  <c r="AS204" i="12"/>
  <c r="AS205" i="12"/>
  <c r="AS206" i="12"/>
  <c r="AS207" i="12"/>
  <c r="AS208" i="12"/>
  <c r="AS209" i="12"/>
  <c r="AS210" i="12"/>
  <c r="AS211" i="12"/>
  <c r="AS212" i="12"/>
  <c r="AS213" i="12"/>
  <c r="AS214" i="12"/>
  <c r="AS215" i="12"/>
  <c r="AS216" i="12"/>
  <c r="AS217" i="12"/>
  <c r="AS218" i="12"/>
  <c r="AS219" i="12"/>
  <c r="AS220" i="12"/>
  <c r="AS221" i="12"/>
  <c r="AS222" i="12"/>
  <c r="AS223" i="12"/>
  <c r="AS224" i="12"/>
  <c r="AS225" i="12"/>
  <c r="AS226" i="12"/>
  <c r="AS227" i="12"/>
  <c r="AS228" i="12"/>
  <c r="AS229" i="12"/>
  <c r="AS230" i="12"/>
  <c r="AS231" i="12"/>
  <c r="AS232" i="12"/>
  <c r="AS233" i="12"/>
  <c r="AS234" i="12"/>
  <c r="AS235" i="12"/>
  <c r="AS236" i="12"/>
  <c r="AS237" i="12"/>
  <c r="AS238" i="12"/>
  <c r="AS239" i="12"/>
  <c r="AS240" i="12"/>
  <c r="AS241" i="12"/>
  <c r="AS242" i="12"/>
  <c r="AS243" i="12"/>
  <c r="AS244" i="12"/>
  <c r="AS245" i="12"/>
  <c r="AS246" i="12"/>
  <c r="AS247" i="12"/>
  <c r="AS248" i="12"/>
  <c r="AS249" i="12"/>
  <c r="AS250" i="12"/>
  <c r="AS251" i="12"/>
  <c r="AS252" i="12"/>
  <c r="AS253" i="12"/>
  <c r="AS254" i="12"/>
  <c r="AS255" i="12"/>
  <c r="AS256" i="12"/>
  <c r="AS257" i="12"/>
  <c r="AS258" i="12"/>
  <c r="AS259" i="12"/>
  <c r="AS260" i="12"/>
  <c r="AS261" i="12"/>
  <c r="AS262" i="12"/>
  <c r="AS263" i="12"/>
  <c r="AS264" i="12"/>
  <c r="AS265" i="12"/>
  <c r="AS266" i="12"/>
  <c r="AS267" i="12"/>
  <c r="AS268" i="12"/>
  <c r="AS269" i="12"/>
  <c r="AS270" i="12"/>
  <c r="AS271" i="12"/>
  <c r="AS272" i="12"/>
  <c r="AS273" i="12"/>
  <c r="AS274" i="12"/>
  <c r="AS275" i="12"/>
  <c r="AS276" i="12"/>
  <c r="AS277" i="12"/>
  <c r="AS278" i="12"/>
  <c r="AS279" i="12"/>
  <c r="AS280" i="12"/>
  <c r="AS281" i="12"/>
  <c r="AS282" i="12"/>
  <c r="AS283" i="12"/>
  <c r="AS284" i="12"/>
  <c r="AS285" i="12"/>
  <c r="AS286" i="12"/>
  <c r="AS287" i="12"/>
  <c r="AS288" i="12"/>
  <c r="AS289" i="12"/>
  <c r="AS290" i="12"/>
  <c r="AS291" i="12"/>
  <c r="AS292" i="12"/>
  <c r="AS293" i="12"/>
  <c r="AS294" i="12"/>
  <c r="AS295" i="12"/>
  <c r="AS296" i="12"/>
  <c r="AS297" i="12"/>
  <c r="AS298" i="12"/>
  <c r="AS299" i="12"/>
  <c r="AS300" i="12"/>
  <c r="AS301" i="12"/>
  <c r="AS2" i="12"/>
  <c r="AR3" i="12"/>
  <c r="AR4" i="12"/>
  <c r="AR5" i="12"/>
  <c r="AR6" i="12"/>
  <c r="AR7" i="12"/>
  <c r="AR8" i="12"/>
  <c r="AR9" i="12"/>
  <c r="AR10" i="12"/>
  <c r="AR11" i="12"/>
  <c r="AR12" i="12"/>
  <c r="AR13" i="12"/>
  <c r="AR14" i="12"/>
  <c r="AR15" i="12"/>
  <c r="AR16" i="12"/>
  <c r="AR17" i="12"/>
  <c r="AR18" i="12"/>
  <c r="AR19" i="12"/>
  <c r="AR20" i="12"/>
  <c r="AR21" i="12"/>
  <c r="AR22" i="12"/>
  <c r="AR23" i="12"/>
  <c r="AR24" i="12"/>
  <c r="AR25" i="12"/>
  <c r="AR26" i="12"/>
  <c r="AR27" i="12"/>
  <c r="AR28" i="12"/>
  <c r="AR29" i="12"/>
  <c r="AR30" i="12"/>
  <c r="AR31" i="12"/>
  <c r="AR32" i="12"/>
  <c r="AR33" i="12"/>
  <c r="AR34" i="12"/>
  <c r="AR35" i="12"/>
  <c r="AR36" i="12"/>
  <c r="AR37" i="12"/>
  <c r="AR38" i="12"/>
  <c r="AR39" i="12"/>
  <c r="AR40" i="12"/>
  <c r="AR41" i="12"/>
  <c r="AR42" i="12"/>
  <c r="AR43" i="12"/>
  <c r="AR44" i="12"/>
  <c r="AR45" i="12"/>
  <c r="AR46" i="12"/>
  <c r="AR47" i="12"/>
  <c r="AR48" i="12"/>
  <c r="AR49" i="12"/>
  <c r="AR50" i="12"/>
  <c r="AR51" i="12"/>
  <c r="AR52" i="12"/>
  <c r="AR53" i="12"/>
  <c r="AR54" i="12"/>
  <c r="AR55" i="12"/>
  <c r="AR56" i="12"/>
  <c r="AR57" i="12"/>
  <c r="AR58" i="12"/>
  <c r="AR59" i="12"/>
  <c r="AR60" i="12"/>
  <c r="AR61" i="12"/>
  <c r="AR62" i="12"/>
  <c r="AR63" i="12"/>
  <c r="AR64" i="12"/>
  <c r="AR65" i="12"/>
  <c r="AR66" i="12"/>
  <c r="AR67" i="12"/>
  <c r="AR68" i="12"/>
  <c r="AR69" i="12"/>
  <c r="AR70" i="12"/>
  <c r="AR71" i="12"/>
  <c r="AR72" i="12"/>
  <c r="AR73" i="12"/>
  <c r="AR74" i="12"/>
  <c r="AR75" i="12"/>
  <c r="AR76" i="12"/>
  <c r="AR77" i="12"/>
  <c r="AR78" i="12"/>
  <c r="AR79" i="12"/>
  <c r="AR80" i="12"/>
  <c r="AR81" i="12"/>
  <c r="AR82" i="12"/>
  <c r="AR83" i="12"/>
  <c r="AR84" i="12"/>
  <c r="AR85" i="12"/>
  <c r="AR86" i="12"/>
  <c r="AR87" i="12"/>
  <c r="AR88" i="12"/>
  <c r="AR89" i="12"/>
  <c r="AR90" i="12"/>
  <c r="AR91" i="12"/>
  <c r="AR92" i="12"/>
  <c r="AR93" i="12"/>
  <c r="AR94" i="12"/>
  <c r="AR95" i="12"/>
  <c r="AR96" i="12"/>
  <c r="AR97" i="12"/>
  <c r="AR98" i="12"/>
  <c r="AR99" i="12"/>
  <c r="AR100" i="12"/>
  <c r="AR101" i="12"/>
  <c r="AR102" i="12"/>
  <c r="AR103" i="12"/>
  <c r="AR104" i="12"/>
  <c r="AR105" i="12"/>
  <c r="AR106" i="12"/>
  <c r="AR107" i="12"/>
  <c r="AR108" i="12"/>
  <c r="AR109" i="12"/>
  <c r="AR110" i="12"/>
  <c r="AR111" i="12"/>
  <c r="AR112" i="12"/>
  <c r="AR113" i="12"/>
  <c r="AR114" i="12"/>
  <c r="AR115" i="12"/>
  <c r="AR116" i="12"/>
  <c r="AR117" i="12"/>
  <c r="AR118" i="12"/>
  <c r="AR119" i="12"/>
  <c r="AR120" i="12"/>
  <c r="AR121" i="12"/>
  <c r="AR122" i="12"/>
  <c r="AR123" i="12"/>
  <c r="AR124" i="12"/>
  <c r="AR125" i="12"/>
  <c r="AR126" i="12"/>
  <c r="AR127" i="12"/>
  <c r="AR128" i="12"/>
  <c r="AR129" i="12"/>
  <c r="AR130" i="12"/>
  <c r="AR131" i="12"/>
  <c r="AR132" i="12"/>
  <c r="AR133" i="12"/>
  <c r="AR134" i="12"/>
  <c r="AR135" i="12"/>
  <c r="AR136" i="12"/>
  <c r="AR137" i="12"/>
  <c r="AR138" i="12"/>
  <c r="AR139" i="12"/>
  <c r="AR140" i="12"/>
  <c r="AR141" i="12"/>
  <c r="AR142" i="12"/>
  <c r="AR143" i="12"/>
  <c r="AR144" i="12"/>
  <c r="AR145" i="12"/>
  <c r="AR146" i="12"/>
  <c r="AR147" i="12"/>
  <c r="AR148" i="12"/>
  <c r="AR149" i="12"/>
  <c r="AR150" i="12"/>
  <c r="AR151" i="12"/>
  <c r="AR152" i="12"/>
  <c r="AR153" i="12"/>
  <c r="AR154" i="12"/>
  <c r="AR155" i="12"/>
  <c r="AR156" i="12"/>
  <c r="AR157" i="12"/>
  <c r="AR158" i="12"/>
  <c r="AR159" i="12"/>
  <c r="AR160" i="12"/>
  <c r="AR161" i="12"/>
  <c r="AR162" i="12"/>
  <c r="AR163" i="12"/>
  <c r="AR164" i="12"/>
  <c r="AR165" i="12"/>
  <c r="AR166" i="12"/>
  <c r="AR167" i="12"/>
  <c r="AR168" i="12"/>
  <c r="AR169" i="12"/>
  <c r="AR170" i="12"/>
  <c r="AR171" i="12"/>
  <c r="AR172" i="12"/>
  <c r="AR173" i="12"/>
  <c r="AR174" i="12"/>
  <c r="AR175" i="12"/>
  <c r="AR176" i="12"/>
  <c r="AR177" i="12"/>
  <c r="AR178" i="12"/>
  <c r="AR179" i="12"/>
  <c r="AR180" i="12"/>
  <c r="AR181" i="12"/>
  <c r="AR182" i="12"/>
  <c r="AR183" i="12"/>
  <c r="AR184" i="12"/>
  <c r="AR185" i="12"/>
  <c r="AR186" i="12"/>
  <c r="AR187" i="12"/>
  <c r="AR188" i="12"/>
  <c r="AR189" i="12"/>
  <c r="AR190" i="12"/>
  <c r="AR191" i="12"/>
  <c r="AR192" i="12"/>
  <c r="AR193" i="12"/>
  <c r="AR194" i="12"/>
  <c r="AR195" i="12"/>
  <c r="AR196" i="12"/>
  <c r="AR197" i="12"/>
  <c r="AR198" i="12"/>
  <c r="AR199" i="12"/>
  <c r="AR200" i="12"/>
  <c r="AR201" i="12"/>
  <c r="AR202" i="12"/>
  <c r="AR203" i="12"/>
  <c r="AR204" i="12"/>
  <c r="AR205" i="12"/>
  <c r="AR206" i="12"/>
  <c r="AR207" i="12"/>
  <c r="AR208" i="12"/>
  <c r="AR209" i="12"/>
  <c r="AR210" i="12"/>
  <c r="AR211" i="12"/>
  <c r="AR212" i="12"/>
  <c r="AR213" i="12"/>
  <c r="AR214" i="12"/>
  <c r="AR215" i="12"/>
  <c r="AR216" i="12"/>
  <c r="AR217" i="12"/>
  <c r="AR218" i="12"/>
  <c r="AR219" i="12"/>
  <c r="AR220" i="12"/>
  <c r="AR221" i="12"/>
  <c r="AR222" i="12"/>
  <c r="AR223" i="12"/>
  <c r="AR224" i="12"/>
  <c r="AR225" i="12"/>
  <c r="AR226" i="12"/>
  <c r="AR227" i="12"/>
  <c r="AR228" i="12"/>
  <c r="AR229" i="12"/>
  <c r="AR230" i="12"/>
  <c r="AR231" i="12"/>
  <c r="AR232" i="12"/>
  <c r="AR233" i="12"/>
  <c r="AR234" i="12"/>
  <c r="AR235" i="12"/>
  <c r="AR236" i="12"/>
  <c r="AR237" i="12"/>
  <c r="AR238" i="12"/>
  <c r="AR239" i="12"/>
  <c r="AR240" i="12"/>
  <c r="AR241" i="12"/>
  <c r="AR242" i="12"/>
  <c r="AR243" i="12"/>
  <c r="AR244" i="12"/>
  <c r="AR245" i="12"/>
  <c r="AR246" i="12"/>
  <c r="AR247" i="12"/>
  <c r="AR248" i="12"/>
  <c r="AR249" i="12"/>
  <c r="AR250" i="12"/>
  <c r="AR251" i="12"/>
  <c r="AR252" i="12"/>
  <c r="AR253" i="12"/>
  <c r="AR254" i="12"/>
  <c r="AR255" i="12"/>
  <c r="AR256" i="12"/>
  <c r="AR257" i="12"/>
  <c r="AR258" i="12"/>
  <c r="AR259" i="12"/>
  <c r="AR260" i="12"/>
  <c r="AR261" i="12"/>
  <c r="AR262" i="12"/>
  <c r="AR263" i="12"/>
  <c r="AR264" i="12"/>
  <c r="AR265" i="12"/>
  <c r="AR266" i="12"/>
  <c r="AR267" i="12"/>
  <c r="AR268" i="12"/>
  <c r="AR269" i="12"/>
  <c r="AR270" i="12"/>
  <c r="AR271" i="12"/>
  <c r="AR272" i="12"/>
  <c r="AR273" i="12"/>
  <c r="AR274" i="12"/>
  <c r="AR275" i="12"/>
  <c r="AR276" i="12"/>
  <c r="AR277" i="12"/>
  <c r="AR278" i="12"/>
  <c r="AR279" i="12"/>
  <c r="AR280" i="12"/>
  <c r="AR281" i="12"/>
  <c r="AR282" i="12"/>
  <c r="AR283" i="12"/>
  <c r="AR284" i="12"/>
  <c r="AR285" i="12"/>
  <c r="AR286" i="12"/>
  <c r="AR287" i="12"/>
  <c r="AR288" i="12"/>
  <c r="AR289" i="12"/>
  <c r="AR290" i="12"/>
  <c r="AR291" i="12"/>
  <c r="AR292" i="12"/>
  <c r="AR293" i="12"/>
  <c r="AR294" i="12"/>
  <c r="AR295" i="12"/>
  <c r="AR296" i="12"/>
  <c r="AR297" i="12"/>
  <c r="AR298" i="12"/>
  <c r="AR299" i="12"/>
  <c r="AR300" i="12"/>
  <c r="AR301" i="12"/>
  <c r="AR2" i="12"/>
  <c r="AQ3" i="12"/>
  <c r="AQ4" i="12"/>
  <c r="AQ5" i="12"/>
  <c r="AQ6" i="12"/>
  <c r="AQ7" i="12"/>
  <c r="AQ8" i="12"/>
  <c r="AQ9" i="12"/>
  <c r="AQ10" i="12"/>
  <c r="AQ11" i="12"/>
  <c r="AQ12" i="12"/>
  <c r="AQ13" i="12"/>
  <c r="AQ14" i="12"/>
  <c r="AQ15" i="12"/>
  <c r="AQ16" i="12"/>
  <c r="AQ17" i="12"/>
  <c r="AQ18" i="12"/>
  <c r="AQ19" i="12"/>
  <c r="AQ20" i="12"/>
  <c r="AQ21" i="12"/>
  <c r="AQ22" i="12"/>
  <c r="AQ23" i="12"/>
  <c r="AQ24" i="12"/>
  <c r="AQ25" i="12"/>
  <c r="AQ26" i="12"/>
  <c r="AQ27" i="12"/>
  <c r="AQ28" i="12"/>
  <c r="AQ29" i="12"/>
  <c r="AQ30" i="12"/>
  <c r="AQ31" i="12"/>
  <c r="AQ32" i="12"/>
  <c r="AQ33" i="12"/>
  <c r="AQ34" i="12"/>
  <c r="AQ35" i="12"/>
  <c r="AQ36" i="12"/>
  <c r="AQ37" i="12"/>
  <c r="AQ38" i="12"/>
  <c r="AQ39" i="12"/>
  <c r="AQ40" i="12"/>
  <c r="AQ41" i="12"/>
  <c r="AQ42" i="12"/>
  <c r="AQ43" i="12"/>
  <c r="AQ44" i="12"/>
  <c r="AQ45" i="12"/>
  <c r="AQ46" i="12"/>
  <c r="AQ47" i="12"/>
  <c r="AQ48" i="12"/>
  <c r="AQ49" i="12"/>
  <c r="AQ50" i="12"/>
  <c r="AQ51" i="12"/>
  <c r="AQ52" i="12"/>
  <c r="AQ53" i="12"/>
  <c r="AQ54" i="12"/>
  <c r="AQ55" i="12"/>
  <c r="AQ56" i="12"/>
  <c r="AQ57" i="12"/>
  <c r="AQ58" i="12"/>
  <c r="AQ59" i="12"/>
  <c r="AQ60" i="12"/>
  <c r="AQ61" i="12"/>
  <c r="AQ62" i="12"/>
  <c r="AQ63" i="12"/>
  <c r="AQ64" i="12"/>
  <c r="AQ65" i="12"/>
  <c r="AQ66" i="12"/>
  <c r="AQ67" i="12"/>
  <c r="AQ68" i="12"/>
  <c r="AQ69" i="12"/>
  <c r="AQ70" i="12"/>
  <c r="AQ71" i="12"/>
  <c r="AQ72" i="12"/>
  <c r="AQ73" i="12"/>
  <c r="AQ74" i="12"/>
  <c r="AQ75" i="12"/>
  <c r="AQ76" i="12"/>
  <c r="AQ77" i="12"/>
  <c r="AQ78" i="12"/>
  <c r="AQ79" i="12"/>
  <c r="AQ80" i="12"/>
  <c r="AQ81" i="12"/>
  <c r="AQ82" i="12"/>
  <c r="AQ83" i="12"/>
  <c r="AQ84" i="12"/>
  <c r="AQ85" i="12"/>
  <c r="AQ86" i="12"/>
  <c r="AQ87" i="12"/>
  <c r="AQ88" i="12"/>
  <c r="AQ89" i="12"/>
  <c r="AQ90" i="12"/>
  <c r="AQ91" i="12"/>
  <c r="AQ92" i="12"/>
  <c r="AQ93" i="12"/>
  <c r="AQ94" i="12"/>
  <c r="AQ95" i="12"/>
  <c r="AQ96" i="12"/>
  <c r="AQ97" i="12"/>
  <c r="AQ98" i="12"/>
  <c r="AQ99" i="12"/>
  <c r="AQ100" i="12"/>
  <c r="AQ101" i="12"/>
  <c r="AQ102" i="12"/>
  <c r="AQ103" i="12"/>
  <c r="AQ104" i="12"/>
  <c r="AQ105" i="12"/>
  <c r="AQ106" i="12"/>
  <c r="AQ107" i="12"/>
  <c r="AQ108" i="12"/>
  <c r="AQ109" i="12"/>
  <c r="AQ110" i="12"/>
  <c r="AQ111" i="12"/>
  <c r="AQ112" i="12"/>
  <c r="AQ113" i="12"/>
  <c r="AQ114" i="12"/>
  <c r="AQ115" i="12"/>
  <c r="AQ116" i="12"/>
  <c r="AQ117" i="12"/>
  <c r="AQ118" i="12"/>
  <c r="AQ119" i="12"/>
  <c r="AQ120" i="12"/>
  <c r="AQ121" i="12"/>
  <c r="AQ122" i="12"/>
  <c r="AQ123" i="12"/>
  <c r="AQ124" i="12"/>
  <c r="AQ125" i="12"/>
  <c r="AQ126" i="12"/>
  <c r="AQ127" i="12"/>
  <c r="AQ128" i="12"/>
  <c r="AQ129" i="12"/>
  <c r="AQ130" i="12"/>
  <c r="AQ131" i="12"/>
  <c r="AQ132" i="12"/>
  <c r="AQ133" i="12"/>
  <c r="AQ134" i="12"/>
  <c r="AQ135" i="12"/>
  <c r="AQ136" i="12"/>
  <c r="AQ137" i="12"/>
  <c r="AQ138" i="12"/>
  <c r="AQ139" i="12"/>
  <c r="AQ140" i="12"/>
  <c r="AQ141" i="12"/>
  <c r="AQ142" i="12"/>
  <c r="AQ143" i="12"/>
  <c r="AQ144" i="12"/>
  <c r="AQ145" i="12"/>
  <c r="AQ146" i="12"/>
  <c r="AQ147" i="12"/>
  <c r="AQ148" i="12"/>
  <c r="AQ149" i="12"/>
  <c r="AQ150" i="12"/>
  <c r="AQ151" i="12"/>
  <c r="AQ152" i="12"/>
  <c r="AQ153" i="12"/>
  <c r="AQ154" i="12"/>
  <c r="AQ155" i="12"/>
  <c r="AQ156" i="12"/>
  <c r="AQ157" i="12"/>
  <c r="AQ158" i="12"/>
  <c r="AQ159" i="12"/>
  <c r="AQ160" i="12"/>
  <c r="AQ161" i="12"/>
  <c r="AQ162" i="12"/>
  <c r="AQ163" i="12"/>
  <c r="AQ164" i="12"/>
  <c r="AQ165" i="12"/>
  <c r="AQ166" i="12"/>
  <c r="AQ167" i="12"/>
  <c r="AQ168" i="12"/>
  <c r="AQ169" i="12"/>
  <c r="AQ170" i="12"/>
  <c r="AQ171" i="12"/>
  <c r="AQ172" i="12"/>
  <c r="AQ173" i="12"/>
  <c r="AQ174" i="12"/>
  <c r="AQ175" i="12"/>
  <c r="AQ176" i="12"/>
  <c r="AQ177" i="12"/>
  <c r="AQ178" i="12"/>
  <c r="AQ179" i="12"/>
  <c r="AQ180" i="12"/>
  <c r="AQ181" i="12"/>
  <c r="AQ182" i="12"/>
  <c r="AQ183" i="12"/>
  <c r="AQ184" i="12"/>
  <c r="AQ185" i="12"/>
  <c r="AQ186" i="12"/>
  <c r="AQ187" i="12"/>
  <c r="AQ188" i="12"/>
  <c r="AQ189" i="12"/>
  <c r="AQ190" i="12"/>
  <c r="AQ191" i="12"/>
  <c r="AQ192" i="12"/>
  <c r="AQ193" i="12"/>
  <c r="AQ194" i="12"/>
  <c r="AQ195" i="12"/>
  <c r="AQ196" i="12"/>
  <c r="AQ197" i="12"/>
  <c r="AQ198" i="12"/>
  <c r="AQ199" i="12"/>
  <c r="AQ200" i="12"/>
  <c r="AQ201" i="12"/>
  <c r="AQ202" i="12"/>
  <c r="AQ203" i="12"/>
  <c r="AQ204" i="12"/>
  <c r="AQ205" i="12"/>
  <c r="AQ206" i="12"/>
  <c r="AQ207" i="12"/>
  <c r="AQ208" i="12"/>
  <c r="AQ209" i="12"/>
  <c r="AQ210" i="12"/>
  <c r="AQ211" i="12"/>
  <c r="AQ212" i="12"/>
  <c r="AQ213" i="12"/>
  <c r="AQ214" i="12"/>
  <c r="AQ215" i="12"/>
  <c r="AQ216" i="12"/>
  <c r="AQ217" i="12"/>
  <c r="AQ218" i="12"/>
  <c r="AQ219" i="12"/>
  <c r="AQ220" i="12"/>
  <c r="AQ221" i="12"/>
  <c r="AQ222" i="12"/>
  <c r="AQ223" i="12"/>
  <c r="AQ224" i="12"/>
  <c r="AQ225" i="12"/>
  <c r="AQ226" i="12"/>
  <c r="AQ227" i="12"/>
  <c r="AQ228" i="12"/>
  <c r="AQ229" i="12"/>
  <c r="AQ230" i="12"/>
  <c r="AQ231" i="12"/>
  <c r="AQ232" i="12"/>
  <c r="AQ233" i="12"/>
  <c r="AQ234" i="12"/>
  <c r="AQ235" i="12"/>
  <c r="AQ236" i="12"/>
  <c r="AQ237" i="12"/>
  <c r="AQ238" i="12"/>
  <c r="AQ239" i="12"/>
  <c r="AQ240" i="12"/>
  <c r="AQ241" i="12"/>
  <c r="AQ242" i="12"/>
  <c r="AQ243" i="12"/>
  <c r="AQ244" i="12"/>
  <c r="AQ245" i="12"/>
  <c r="AQ246" i="12"/>
  <c r="AQ247" i="12"/>
  <c r="AQ248" i="12"/>
  <c r="AQ249" i="12"/>
  <c r="AQ250" i="12"/>
  <c r="AQ251" i="12"/>
  <c r="AQ252" i="12"/>
  <c r="AQ253" i="12"/>
  <c r="AQ254" i="12"/>
  <c r="AQ255" i="12"/>
  <c r="AQ256" i="12"/>
  <c r="AQ257" i="12"/>
  <c r="AQ258" i="12"/>
  <c r="AQ259" i="12"/>
  <c r="AQ260" i="12"/>
  <c r="AQ261" i="12"/>
  <c r="AQ262" i="12"/>
  <c r="AQ263" i="12"/>
  <c r="AQ264" i="12"/>
  <c r="AQ265" i="12"/>
  <c r="AQ266" i="12"/>
  <c r="AQ267" i="12"/>
  <c r="AQ268" i="12"/>
  <c r="AQ269" i="12"/>
  <c r="AQ270" i="12"/>
  <c r="AQ271" i="12"/>
  <c r="AQ272" i="12"/>
  <c r="AQ273" i="12"/>
  <c r="AQ274" i="12"/>
  <c r="AQ275" i="12"/>
  <c r="AQ276" i="12"/>
  <c r="AQ277" i="12"/>
  <c r="AQ278" i="12"/>
  <c r="AQ279" i="12"/>
  <c r="AQ280" i="12"/>
  <c r="AQ281" i="12"/>
  <c r="AQ282" i="12"/>
  <c r="AQ283" i="12"/>
  <c r="AQ284" i="12"/>
  <c r="AQ285" i="12"/>
  <c r="AQ286" i="12"/>
  <c r="AQ287" i="12"/>
  <c r="AQ288" i="12"/>
  <c r="AQ289" i="12"/>
  <c r="AQ290" i="12"/>
  <c r="AQ291" i="12"/>
  <c r="AQ292" i="12"/>
  <c r="AQ293" i="12"/>
  <c r="AQ294" i="12"/>
  <c r="AQ295" i="12"/>
  <c r="AQ296" i="12"/>
  <c r="AQ297" i="12"/>
  <c r="AQ298" i="12"/>
  <c r="AQ299" i="12"/>
  <c r="AQ300" i="12"/>
  <c r="AQ301" i="12"/>
  <c r="AQ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8" i="12"/>
  <c r="AP39" i="12"/>
  <c r="AP40" i="12"/>
  <c r="AP41" i="12"/>
  <c r="AP42" i="12"/>
  <c r="AP43" i="12"/>
  <c r="AP44" i="12"/>
  <c r="AP45" i="12"/>
  <c r="AP46" i="12"/>
  <c r="AP47" i="12"/>
  <c r="AP48" i="12"/>
  <c r="AP49" i="12"/>
  <c r="AP50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P71" i="12"/>
  <c r="AP72" i="12"/>
  <c r="AP73" i="12"/>
  <c r="AP74" i="12"/>
  <c r="AP75" i="12"/>
  <c r="AP76" i="12"/>
  <c r="AP77" i="12"/>
  <c r="AP78" i="12"/>
  <c r="AP79" i="12"/>
  <c r="AP80" i="12"/>
  <c r="AP81" i="12"/>
  <c r="AP82" i="12"/>
  <c r="AP83" i="12"/>
  <c r="AP84" i="12"/>
  <c r="AP85" i="12"/>
  <c r="AP86" i="12"/>
  <c r="AP87" i="12"/>
  <c r="AP88" i="12"/>
  <c r="AP89" i="12"/>
  <c r="AP90" i="12"/>
  <c r="AP91" i="12"/>
  <c r="AP92" i="12"/>
  <c r="AP93" i="12"/>
  <c r="AP94" i="12"/>
  <c r="AP95" i="12"/>
  <c r="AP96" i="12"/>
  <c r="AP97" i="12"/>
  <c r="AP98" i="12"/>
  <c r="AP99" i="12"/>
  <c r="AP100" i="12"/>
  <c r="AP101" i="12"/>
  <c r="AP102" i="12"/>
  <c r="AP103" i="12"/>
  <c r="AP104" i="12"/>
  <c r="AP105" i="12"/>
  <c r="AP106" i="12"/>
  <c r="AP107" i="12"/>
  <c r="AP108" i="12"/>
  <c r="AP109" i="12"/>
  <c r="AP110" i="12"/>
  <c r="AP111" i="12"/>
  <c r="AP112" i="12"/>
  <c r="AP113" i="12"/>
  <c r="AP114" i="12"/>
  <c r="AP115" i="12"/>
  <c r="AP116" i="12"/>
  <c r="AP117" i="12"/>
  <c r="AP118" i="12"/>
  <c r="AP119" i="12"/>
  <c r="AP120" i="12"/>
  <c r="AP121" i="12"/>
  <c r="AP122" i="12"/>
  <c r="AP123" i="12"/>
  <c r="AP124" i="12"/>
  <c r="AP125" i="12"/>
  <c r="AP126" i="12"/>
  <c r="AP127" i="12"/>
  <c r="AP128" i="12"/>
  <c r="AP129" i="12"/>
  <c r="AP130" i="12"/>
  <c r="AP131" i="12"/>
  <c r="AP132" i="12"/>
  <c r="AP133" i="12"/>
  <c r="AP134" i="12"/>
  <c r="AP135" i="12"/>
  <c r="AP136" i="12"/>
  <c r="AP137" i="12"/>
  <c r="AP138" i="12"/>
  <c r="AP139" i="12"/>
  <c r="AP140" i="12"/>
  <c r="AP141" i="12"/>
  <c r="AP142" i="12"/>
  <c r="AP143" i="12"/>
  <c r="AP144" i="12"/>
  <c r="AP145" i="12"/>
  <c r="AP146" i="12"/>
  <c r="AP147" i="12"/>
  <c r="AP148" i="12"/>
  <c r="AP149" i="12"/>
  <c r="AP150" i="12"/>
  <c r="AP151" i="12"/>
  <c r="AP152" i="12"/>
  <c r="AP153" i="12"/>
  <c r="AP154" i="12"/>
  <c r="AP155" i="12"/>
  <c r="AP156" i="12"/>
  <c r="AP157" i="12"/>
  <c r="AP158" i="12"/>
  <c r="AP159" i="12"/>
  <c r="AP160" i="12"/>
  <c r="AP161" i="12"/>
  <c r="AP162" i="12"/>
  <c r="AP163" i="12"/>
  <c r="AP164" i="12"/>
  <c r="AP165" i="12"/>
  <c r="AP166" i="12"/>
  <c r="AP167" i="12"/>
  <c r="AP168" i="12"/>
  <c r="AP169" i="12"/>
  <c r="AP170" i="12"/>
  <c r="AP171" i="12"/>
  <c r="AP172" i="12"/>
  <c r="AP173" i="12"/>
  <c r="AP174" i="12"/>
  <c r="AP175" i="12"/>
  <c r="AP176" i="12"/>
  <c r="AP177" i="12"/>
  <c r="AP178" i="12"/>
  <c r="AP179" i="12"/>
  <c r="AP180" i="12"/>
  <c r="AP181" i="12"/>
  <c r="AP182" i="12"/>
  <c r="AP183" i="12"/>
  <c r="AP184" i="12"/>
  <c r="AP185" i="12"/>
  <c r="AP186" i="12"/>
  <c r="AP187" i="12"/>
  <c r="AP188" i="12"/>
  <c r="AP189" i="12"/>
  <c r="AP190" i="12"/>
  <c r="AP191" i="12"/>
  <c r="AP192" i="12"/>
  <c r="AP193" i="12"/>
  <c r="AP194" i="12"/>
  <c r="AP195" i="12"/>
  <c r="AP196" i="12"/>
  <c r="AP197" i="12"/>
  <c r="AP198" i="12"/>
  <c r="AP199" i="12"/>
  <c r="AP200" i="12"/>
  <c r="AP201" i="12"/>
  <c r="AP202" i="12"/>
  <c r="AP203" i="12"/>
  <c r="AP204" i="12"/>
  <c r="AP205" i="12"/>
  <c r="AP206" i="12"/>
  <c r="AP207" i="12"/>
  <c r="AP208" i="12"/>
  <c r="AP209" i="12"/>
  <c r="AP210" i="12"/>
  <c r="AP211" i="12"/>
  <c r="AP212" i="12"/>
  <c r="AP213" i="12"/>
  <c r="AP214" i="12"/>
  <c r="AP215" i="12"/>
  <c r="AP216" i="12"/>
  <c r="AP217" i="12"/>
  <c r="AP218" i="12"/>
  <c r="AP219" i="12"/>
  <c r="AP220" i="12"/>
  <c r="AP221" i="12"/>
  <c r="AP222" i="12"/>
  <c r="AP223" i="12"/>
  <c r="AP224" i="12"/>
  <c r="AP225" i="12"/>
  <c r="AP226" i="12"/>
  <c r="AP227" i="12"/>
  <c r="AP228" i="12"/>
  <c r="AP229" i="12"/>
  <c r="AP230" i="12"/>
  <c r="AP231" i="12"/>
  <c r="AP232" i="12"/>
  <c r="AP233" i="12"/>
  <c r="AP234" i="12"/>
  <c r="AP235" i="12"/>
  <c r="AP236" i="12"/>
  <c r="AP237" i="12"/>
  <c r="AP238" i="12"/>
  <c r="AP239" i="12"/>
  <c r="AP240" i="12"/>
  <c r="AP241" i="12"/>
  <c r="AP242" i="12"/>
  <c r="AP243" i="12"/>
  <c r="AP244" i="12"/>
  <c r="AP245" i="12"/>
  <c r="AP247" i="12"/>
  <c r="AP248" i="12"/>
  <c r="AP249" i="12"/>
  <c r="AP250" i="12"/>
  <c r="AP251" i="12"/>
  <c r="AP252" i="12"/>
  <c r="AP253" i="12"/>
  <c r="AP254" i="12"/>
  <c r="AP255" i="12"/>
  <c r="AP256" i="12"/>
  <c r="AP257" i="12"/>
  <c r="AP258" i="12"/>
  <c r="AP259" i="12"/>
  <c r="AP260" i="12"/>
  <c r="AP261" i="12"/>
  <c r="AP262" i="12"/>
  <c r="AP263" i="12"/>
  <c r="AP264" i="12"/>
  <c r="AP265" i="12"/>
  <c r="AP266" i="12"/>
  <c r="AP267" i="12"/>
  <c r="AP268" i="12"/>
  <c r="AP269" i="12"/>
  <c r="AP270" i="12"/>
  <c r="AP271" i="12"/>
  <c r="AP272" i="12"/>
  <c r="AP273" i="12"/>
  <c r="AP274" i="12"/>
  <c r="AP275" i="12"/>
  <c r="AP276" i="12"/>
  <c r="AP277" i="12"/>
  <c r="AP278" i="12"/>
  <c r="AP279" i="12"/>
  <c r="AP280" i="12"/>
  <c r="AP281" i="12"/>
  <c r="AP282" i="12"/>
  <c r="AP283" i="12"/>
  <c r="AP284" i="12"/>
  <c r="AP285" i="12"/>
  <c r="AP286" i="12"/>
  <c r="AP287" i="12"/>
  <c r="AP288" i="12"/>
  <c r="AP289" i="12"/>
  <c r="AP290" i="12"/>
  <c r="AP291" i="12"/>
  <c r="AP292" i="12"/>
  <c r="AP293" i="12"/>
  <c r="AP294" i="12"/>
  <c r="AP295" i="12"/>
  <c r="AP296" i="12"/>
  <c r="AP297" i="12"/>
  <c r="AP298" i="12"/>
  <c r="AP299" i="12"/>
  <c r="AP300" i="12"/>
  <c r="AP301" i="12"/>
  <c r="AP2" i="12"/>
  <c r="AO3" i="12"/>
  <c r="AO4" i="12"/>
  <c r="AO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O71" i="12"/>
  <c r="AO72" i="12"/>
  <c r="AO73" i="12"/>
  <c r="AO74" i="12"/>
  <c r="AO75" i="12"/>
  <c r="AO76" i="12"/>
  <c r="AO77" i="12"/>
  <c r="AO78" i="12"/>
  <c r="AO79" i="12"/>
  <c r="AO80" i="12"/>
  <c r="AO81" i="12"/>
  <c r="AO82" i="12"/>
  <c r="AO83" i="12"/>
  <c r="AO84" i="12"/>
  <c r="AO85" i="12"/>
  <c r="AO86" i="12"/>
  <c r="AO87" i="12"/>
  <c r="AO88" i="12"/>
  <c r="AO89" i="12"/>
  <c r="AO90" i="12"/>
  <c r="AO91" i="12"/>
  <c r="AO92" i="12"/>
  <c r="AO93" i="12"/>
  <c r="AO94" i="12"/>
  <c r="AO95" i="12"/>
  <c r="AO96" i="12"/>
  <c r="AO97" i="12"/>
  <c r="AO98" i="12"/>
  <c r="AO99" i="12"/>
  <c r="AO100" i="12"/>
  <c r="AO101" i="12"/>
  <c r="AO102" i="12"/>
  <c r="AO103" i="12"/>
  <c r="AO104" i="12"/>
  <c r="AO105" i="12"/>
  <c r="AO106" i="12"/>
  <c r="AO107" i="12"/>
  <c r="AO108" i="12"/>
  <c r="AO109" i="12"/>
  <c r="AO110" i="12"/>
  <c r="AO111" i="12"/>
  <c r="AO112" i="12"/>
  <c r="AO113" i="12"/>
  <c r="AO114" i="12"/>
  <c r="AO115" i="12"/>
  <c r="AO116" i="12"/>
  <c r="AO117" i="12"/>
  <c r="AO118" i="12"/>
  <c r="AO119" i="12"/>
  <c r="AO120" i="12"/>
  <c r="AO121" i="12"/>
  <c r="AO122" i="12"/>
  <c r="AO123" i="12"/>
  <c r="AO124" i="12"/>
  <c r="AO125" i="12"/>
  <c r="AO126" i="12"/>
  <c r="AO127" i="12"/>
  <c r="AO128" i="12"/>
  <c r="AO129" i="12"/>
  <c r="AO130" i="12"/>
  <c r="AO131" i="12"/>
  <c r="AO132" i="12"/>
  <c r="AO133" i="12"/>
  <c r="AO134" i="12"/>
  <c r="AO135" i="12"/>
  <c r="AO136" i="12"/>
  <c r="AO137" i="12"/>
  <c r="AO138" i="12"/>
  <c r="AO139" i="12"/>
  <c r="AO140" i="12"/>
  <c r="AO141" i="12"/>
  <c r="AO142" i="12"/>
  <c r="AO143" i="12"/>
  <c r="AO144" i="12"/>
  <c r="AO145" i="12"/>
  <c r="AO146" i="12"/>
  <c r="AO147" i="12"/>
  <c r="AO148" i="12"/>
  <c r="AO149" i="12"/>
  <c r="AO150" i="12"/>
  <c r="AO151" i="12"/>
  <c r="AO152" i="12"/>
  <c r="AO153" i="12"/>
  <c r="AO154" i="12"/>
  <c r="AO155" i="12"/>
  <c r="AO156" i="12"/>
  <c r="AO157" i="12"/>
  <c r="AO158" i="12"/>
  <c r="AO159" i="12"/>
  <c r="AO160" i="12"/>
  <c r="AO161" i="12"/>
  <c r="AO162" i="12"/>
  <c r="AO163" i="12"/>
  <c r="AO164" i="12"/>
  <c r="AO165" i="12"/>
  <c r="AO166" i="12"/>
  <c r="AO167" i="12"/>
  <c r="AO168" i="12"/>
  <c r="AO169" i="12"/>
  <c r="AO170" i="12"/>
  <c r="AO171" i="12"/>
  <c r="AO172" i="12"/>
  <c r="AO173" i="12"/>
  <c r="AO174" i="12"/>
  <c r="AO175" i="12"/>
  <c r="AO176" i="12"/>
  <c r="AO177" i="12"/>
  <c r="AO178" i="12"/>
  <c r="AO179" i="12"/>
  <c r="AO180" i="12"/>
  <c r="AO181" i="12"/>
  <c r="AO182" i="12"/>
  <c r="AO183" i="12"/>
  <c r="AO184" i="12"/>
  <c r="AO185" i="12"/>
  <c r="AO186" i="12"/>
  <c r="AO187" i="12"/>
  <c r="AO188" i="12"/>
  <c r="AO189" i="12"/>
  <c r="AO190" i="12"/>
  <c r="AO191" i="12"/>
  <c r="AO192" i="12"/>
  <c r="AO193" i="12"/>
  <c r="AO194" i="12"/>
  <c r="AO195" i="12"/>
  <c r="AO196" i="12"/>
  <c r="AO197" i="12"/>
  <c r="AO198" i="12"/>
  <c r="AO199" i="12"/>
  <c r="AO200" i="12"/>
  <c r="AO201" i="12"/>
  <c r="AO202" i="12"/>
  <c r="AO203" i="12"/>
  <c r="AO204" i="12"/>
  <c r="AO205" i="12"/>
  <c r="AO206" i="12"/>
  <c r="AO207" i="12"/>
  <c r="AO208" i="12"/>
  <c r="AO209" i="12"/>
  <c r="AO210" i="12"/>
  <c r="AO211" i="12"/>
  <c r="AO212" i="12"/>
  <c r="AO213" i="12"/>
  <c r="AO214" i="12"/>
  <c r="AO215" i="12"/>
  <c r="AO216" i="12"/>
  <c r="AO217" i="12"/>
  <c r="AO218" i="12"/>
  <c r="AO219" i="12"/>
  <c r="AO220" i="12"/>
  <c r="AO221" i="12"/>
  <c r="AO222" i="12"/>
  <c r="AO223" i="12"/>
  <c r="AO224" i="12"/>
  <c r="AO225" i="12"/>
  <c r="AO226" i="12"/>
  <c r="AO227" i="12"/>
  <c r="AO228" i="12"/>
  <c r="AO229" i="12"/>
  <c r="AO230" i="12"/>
  <c r="AO231" i="12"/>
  <c r="AO232" i="12"/>
  <c r="AO233" i="12"/>
  <c r="AO234" i="12"/>
  <c r="AO235" i="12"/>
  <c r="AO236" i="12"/>
  <c r="AO237" i="12"/>
  <c r="AO238" i="12"/>
  <c r="AO239" i="12"/>
  <c r="AO240" i="12"/>
  <c r="AO241" i="12"/>
  <c r="AO242" i="12"/>
  <c r="AO243" i="12"/>
  <c r="AO244" i="12"/>
  <c r="AO245" i="12"/>
  <c r="AO247" i="12"/>
  <c r="AO248" i="12"/>
  <c r="AO249" i="12"/>
  <c r="AO250" i="12"/>
  <c r="AO251" i="12"/>
  <c r="AO252" i="12"/>
  <c r="AO253" i="12"/>
  <c r="AO254" i="12"/>
  <c r="AO255" i="12"/>
  <c r="AO256" i="12"/>
  <c r="AO257" i="12"/>
  <c r="AO258" i="12"/>
  <c r="AO259" i="12"/>
  <c r="AO260" i="12"/>
  <c r="AO261" i="12"/>
  <c r="AO262" i="12"/>
  <c r="AO263" i="12"/>
  <c r="AO264" i="12"/>
  <c r="AO265" i="12"/>
  <c r="AO266" i="12"/>
  <c r="AO267" i="12"/>
  <c r="AO268" i="12"/>
  <c r="AO269" i="12"/>
  <c r="AO270" i="12"/>
  <c r="AO271" i="12"/>
  <c r="AO272" i="12"/>
  <c r="AO273" i="12"/>
  <c r="AO274" i="12"/>
  <c r="AO275" i="12"/>
  <c r="AO276" i="12"/>
  <c r="AO277" i="12"/>
  <c r="AO278" i="12"/>
  <c r="AO279" i="12"/>
  <c r="AO280" i="12"/>
  <c r="AO281" i="12"/>
  <c r="AO282" i="12"/>
  <c r="AO283" i="12"/>
  <c r="AO284" i="12"/>
  <c r="AO285" i="12"/>
  <c r="AO286" i="12"/>
  <c r="AO287" i="12"/>
  <c r="AO288" i="12"/>
  <c r="AO289" i="12"/>
  <c r="AO290" i="12"/>
  <c r="AO291" i="12"/>
  <c r="AO292" i="12"/>
  <c r="AO293" i="12"/>
  <c r="AO294" i="12"/>
  <c r="AO295" i="12"/>
  <c r="AO296" i="12"/>
  <c r="AO297" i="12"/>
  <c r="AO298" i="12"/>
  <c r="AO299" i="12"/>
  <c r="AO300" i="12"/>
  <c r="AO301" i="12"/>
  <c r="AO2" i="12"/>
  <c r="AN3" i="12"/>
  <c r="AN4" i="12"/>
  <c r="AN5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81" i="12"/>
  <c r="AN82" i="12"/>
  <c r="AN83" i="12"/>
  <c r="AN84" i="12"/>
  <c r="AN85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101" i="12"/>
  <c r="AN102" i="12"/>
  <c r="AN103" i="12"/>
  <c r="AN104" i="12"/>
  <c r="AN105" i="12"/>
  <c r="AN106" i="12"/>
  <c r="AN107" i="12"/>
  <c r="AN108" i="12"/>
  <c r="AN109" i="12"/>
  <c r="AN110" i="12"/>
  <c r="AN111" i="12"/>
  <c r="AN112" i="12"/>
  <c r="AN113" i="12"/>
  <c r="AN114" i="12"/>
  <c r="AN115" i="12"/>
  <c r="AN116" i="12"/>
  <c r="AN117" i="12"/>
  <c r="AN118" i="12"/>
  <c r="AN119" i="12"/>
  <c r="AN120" i="12"/>
  <c r="AN121" i="12"/>
  <c r="AN122" i="12"/>
  <c r="AN123" i="12"/>
  <c r="AN124" i="12"/>
  <c r="AN125" i="12"/>
  <c r="AN126" i="12"/>
  <c r="AN127" i="12"/>
  <c r="AN128" i="12"/>
  <c r="AN129" i="12"/>
  <c r="AN130" i="12"/>
  <c r="AN131" i="12"/>
  <c r="AN132" i="12"/>
  <c r="AN133" i="12"/>
  <c r="AN134" i="12"/>
  <c r="AN135" i="12"/>
  <c r="AN136" i="12"/>
  <c r="AN137" i="12"/>
  <c r="AN138" i="12"/>
  <c r="AN139" i="12"/>
  <c r="AN140" i="12"/>
  <c r="AN141" i="12"/>
  <c r="AN142" i="12"/>
  <c r="AN143" i="12"/>
  <c r="AN144" i="12"/>
  <c r="AN145" i="12"/>
  <c r="AN146" i="12"/>
  <c r="AN147" i="12"/>
  <c r="AN148" i="12"/>
  <c r="AN149" i="12"/>
  <c r="AN150" i="12"/>
  <c r="AN151" i="12"/>
  <c r="AN152" i="12"/>
  <c r="AN153" i="12"/>
  <c r="AN154" i="12"/>
  <c r="AN155" i="12"/>
  <c r="AN156" i="12"/>
  <c r="AN157" i="12"/>
  <c r="AN158" i="12"/>
  <c r="AN159" i="12"/>
  <c r="AN160" i="12"/>
  <c r="AN161" i="12"/>
  <c r="AN162" i="12"/>
  <c r="AN163" i="12"/>
  <c r="AN164" i="12"/>
  <c r="AN165" i="12"/>
  <c r="AN166" i="12"/>
  <c r="AN167" i="12"/>
  <c r="AN168" i="12"/>
  <c r="AN169" i="12"/>
  <c r="AN170" i="12"/>
  <c r="AN171" i="12"/>
  <c r="AN172" i="12"/>
  <c r="AN173" i="12"/>
  <c r="AN174" i="12"/>
  <c r="AN175" i="12"/>
  <c r="AN176" i="12"/>
  <c r="AN177" i="12"/>
  <c r="AN178" i="12"/>
  <c r="AN179" i="12"/>
  <c r="AN180" i="12"/>
  <c r="AN181" i="12"/>
  <c r="AN182" i="12"/>
  <c r="AN183" i="12"/>
  <c r="AN184" i="12"/>
  <c r="AN185" i="12"/>
  <c r="AN186" i="12"/>
  <c r="AN187" i="12"/>
  <c r="AN188" i="12"/>
  <c r="AN189" i="12"/>
  <c r="AN190" i="12"/>
  <c r="AN191" i="12"/>
  <c r="AN192" i="12"/>
  <c r="AN193" i="12"/>
  <c r="AN194" i="12"/>
  <c r="AN195" i="12"/>
  <c r="AN196" i="12"/>
  <c r="AN197" i="12"/>
  <c r="AN198" i="12"/>
  <c r="AN199" i="12"/>
  <c r="AN200" i="12"/>
  <c r="AN201" i="12"/>
  <c r="AN202" i="12"/>
  <c r="AN203" i="12"/>
  <c r="AN204" i="12"/>
  <c r="AN205" i="12"/>
  <c r="AN206" i="12"/>
  <c r="AN207" i="12"/>
  <c r="AN208" i="12"/>
  <c r="AN209" i="12"/>
  <c r="AN210" i="12"/>
  <c r="AN211" i="12"/>
  <c r="AN212" i="12"/>
  <c r="AN213" i="12"/>
  <c r="AN214" i="12"/>
  <c r="AN215" i="12"/>
  <c r="AN216" i="12"/>
  <c r="AN217" i="12"/>
  <c r="AN218" i="12"/>
  <c r="AN219" i="12"/>
  <c r="AN220" i="12"/>
  <c r="AN221" i="12"/>
  <c r="AN222" i="12"/>
  <c r="AN223" i="12"/>
  <c r="AN224" i="12"/>
  <c r="AN225" i="12"/>
  <c r="AN226" i="12"/>
  <c r="AN227" i="12"/>
  <c r="AN228" i="12"/>
  <c r="AN229" i="12"/>
  <c r="AN230" i="12"/>
  <c r="AN231" i="12"/>
  <c r="AN232" i="12"/>
  <c r="AN233" i="12"/>
  <c r="AN234" i="12"/>
  <c r="AN235" i="12"/>
  <c r="AN236" i="12"/>
  <c r="AN237" i="12"/>
  <c r="AN238" i="12"/>
  <c r="AN239" i="12"/>
  <c r="AN240" i="12"/>
  <c r="AN241" i="12"/>
  <c r="AN242" i="12"/>
  <c r="AN243" i="12"/>
  <c r="AN244" i="12"/>
  <c r="AN245" i="12"/>
  <c r="AN247" i="12"/>
  <c r="AN248" i="12"/>
  <c r="AN249" i="12"/>
  <c r="AN250" i="12"/>
  <c r="AN251" i="12"/>
  <c r="AN252" i="12"/>
  <c r="AN253" i="12"/>
  <c r="AN254" i="12"/>
  <c r="AN255" i="12"/>
  <c r="AN256" i="12"/>
  <c r="AN257" i="12"/>
  <c r="AN258" i="12"/>
  <c r="AN259" i="12"/>
  <c r="AN260" i="12"/>
  <c r="AN261" i="12"/>
  <c r="AN262" i="12"/>
  <c r="AN263" i="12"/>
  <c r="AN264" i="12"/>
  <c r="AN265" i="12"/>
  <c r="AN266" i="12"/>
  <c r="AN267" i="12"/>
  <c r="AN268" i="12"/>
  <c r="AN269" i="12"/>
  <c r="AN270" i="12"/>
  <c r="AN271" i="12"/>
  <c r="AN272" i="12"/>
  <c r="AN273" i="12"/>
  <c r="AN274" i="12"/>
  <c r="AN275" i="12"/>
  <c r="AN276" i="12"/>
  <c r="AN277" i="12"/>
  <c r="AN278" i="12"/>
  <c r="AN279" i="12"/>
  <c r="AN280" i="12"/>
  <c r="AN281" i="12"/>
  <c r="AN282" i="12"/>
  <c r="AN283" i="12"/>
  <c r="AN284" i="12"/>
  <c r="AN285" i="12"/>
  <c r="AN286" i="12"/>
  <c r="AN287" i="12"/>
  <c r="AN288" i="12"/>
  <c r="AN289" i="12"/>
  <c r="AN290" i="12"/>
  <c r="AN291" i="12"/>
  <c r="AN292" i="12"/>
  <c r="AN293" i="12"/>
  <c r="AN294" i="12"/>
  <c r="AN295" i="12"/>
  <c r="AN296" i="12"/>
  <c r="AN297" i="12"/>
  <c r="AN298" i="12"/>
  <c r="AN299" i="12"/>
  <c r="AN300" i="12"/>
  <c r="AN301" i="12"/>
  <c r="AN2" i="12"/>
  <c r="AM3" i="12"/>
  <c r="AM4" i="12"/>
  <c r="AM5" i="12"/>
  <c r="AM6" i="12"/>
  <c r="AM7" i="12"/>
  <c r="AM8" i="12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AM56" i="12"/>
  <c r="AM57" i="12"/>
  <c r="AM58" i="12"/>
  <c r="AM59" i="12"/>
  <c r="AM60" i="12"/>
  <c r="AM61" i="12"/>
  <c r="AM62" i="12"/>
  <c r="AM63" i="12"/>
  <c r="AM64" i="12"/>
  <c r="AM65" i="12"/>
  <c r="AM66" i="12"/>
  <c r="AM67" i="12"/>
  <c r="AM68" i="12"/>
  <c r="AM69" i="12"/>
  <c r="AM70" i="12"/>
  <c r="AM71" i="12"/>
  <c r="AM72" i="12"/>
  <c r="AM73" i="12"/>
  <c r="AM74" i="12"/>
  <c r="AM75" i="12"/>
  <c r="AM76" i="12"/>
  <c r="AM77" i="12"/>
  <c r="AM78" i="12"/>
  <c r="AM79" i="12"/>
  <c r="AM80" i="12"/>
  <c r="AM81" i="12"/>
  <c r="AM82" i="12"/>
  <c r="AM83" i="12"/>
  <c r="AM84" i="12"/>
  <c r="AM85" i="12"/>
  <c r="AM86" i="12"/>
  <c r="AM87" i="12"/>
  <c r="AM88" i="12"/>
  <c r="AM89" i="12"/>
  <c r="AM90" i="12"/>
  <c r="AM91" i="12"/>
  <c r="AM92" i="12"/>
  <c r="AM93" i="12"/>
  <c r="AM94" i="12"/>
  <c r="AM95" i="12"/>
  <c r="AM96" i="12"/>
  <c r="AM97" i="12"/>
  <c r="AM98" i="12"/>
  <c r="AM99" i="12"/>
  <c r="AM100" i="12"/>
  <c r="AM101" i="12"/>
  <c r="AM102" i="12"/>
  <c r="AM103" i="12"/>
  <c r="AM104" i="12"/>
  <c r="AM105" i="12"/>
  <c r="AM106" i="12"/>
  <c r="AM107" i="12"/>
  <c r="AM108" i="12"/>
  <c r="AM109" i="12"/>
  <c r="AM110" i="12"/>
  <c r="AM111" i="12"/>
  <c r="AM112" i="12"/>
  <c r="AM113" i="12"/>
  <c r="AM114" i="12"/>
  <c r="AM115" i="12"/>
  <c r="AM116" i="12"/>
  <c r="AM117" i="12"/>
  <c r="AM118" i="12"/>
  <c r="AM119" i="12"/>
  <c r="AM120" i="12"/>
  <c r="AM121" i="12"/>
  <c r="AM122" i="12"/>
  <c r="AM123" i="12"/>
  <c r="AM124" i="12"/>
  <c r="AM125" i="12"/>
  <c r="AM126" i="12"/>
  <c r="AM127" i="12"/>
  <c r="AM128" i="12"/>
  <c r="AM129" i="12"/>
  <c r="AM130" i="12"/>
  <c r="AM131" i="12"/>
  <c r="AM132" i="12"/>
  <c r="AM133" i="12"/>
  <c r="AM134" i="12"/>
  <c r="AM135" i="12"/>
  <c r="AM136" i="12"/>
  <c r="AM137" i="12"/>
  <c r="AM138" i="12"/>
  <c r="AM139" i="12"/>
  <c r="AM140" i="12"/>
  <c r="AM141" i="12"/>
  <c r="AM142" i="12"/>
  <c r="AM143" i="12"/>
  <c r="AM144" i="12"/>
  <c r="AM145" i="12"/>
  <c r="AM146" i="12"/>
  <c r="AM147" i="12"/>
  <c r="AM148" i="12"/>
  <c r="AM149" i="12"/>
  <c r="AM150" i="12"/>
  <c r="AM151" i="12"/>
  <c r="AM152" i="12"/>
  <c r="AM153" i="12"/>
  <c r="AM154" i="12"/>
  <c r="AM155" i="12"/>
  <c r="AM156" i="12"/>
  <c r="AM157" i="12"/>
  <c r="AM158" i="12"/>
  <c r="AM159" i="12"/>
  <c r="AM160" i="12"/>
  <c r="AM161" i="12"/>
  <c r="AM162" i="12"/>
  <c r="AM163" i="12"/>
  <c r="AM164" i="12"/>
  <c r="AM165" i="12"/>
  <c r="AM166" i="12"/>
  <c r="AM167" i="12"/>
  <c r="AM168" i="12"/>
  <c r="AM169" i="12"/>
  <c r="AM170" i="12"/>
  <c r="AM171" i="12"/>
  <c r="AM172" i="12"/>
  <c r="AM173" i="12"/>
  <c r="AM174" i="12"/>
  <c r="AM175" i="12"/>
  <c r="AM176" i="12"/>
  <c r="AM177" i="12"/>
  <c r="AM178" i="12"/>
  <c r="AM179" i="12"/>
  <c r="AM180" i="12"/>
  <c r="AM181" i="12"/>
  <c r="AM182" i="12"/>
  <c r="AM183" i="12"/>
  <c r="AM184" i="12"/>
  <c r="AM185" i="12"/>
  <c r="AM186" i="12"/>
  <c r="AM187" i="12"/>
  <c r="AM188" i="12"/>
  <c r="AM189" i="12"/>
  <c r="AM190" i="12"/>
  <c r="AM191" i="12"/>
  <c r="AM192" i="12"/>
  <c r="AM193" i="12"/>
  <c r="AM194" i="12"/>
  <c r="AM195" i="12"/>
  <c r="AM196" i="12"/>
  <c r="AM197" i="12"/>
  <c r="AM198" i="12"/>
  <c r="AM199" i="12"/>
  <c r="AM200" i="12"/>
  <c r="AM201" i="12"/>
  <c r="AM202" i="12"/>
  <c r="AM203" i="12"/>
  <c r="AM204" i="12"/>
  <c r="AM205" i="12"/>
  <c r="AM206" i="12"/>
  <c r="AM207" i="12"/>
  <c r="AM208" i="12"/>
  <c r="AM209" i="12"/>
  <c r="AM210" i="12"/>
  <c r="AM211" i="12"/>
  <c r="AM212" i="12"/>
  <c r="AM213" i="12"/>
  <c r="AM214" i="12"/>
  <c r="AM215" i="12"/>
  <c r="AM216" i="12"/>
  <c r="AM217" i="12"/>
  <c r="AM218" i="12"/>
  <c r="AM219" i="12"/>
  <c r="AM220" i="12"/>
  <c r="AM221" i="12"/>
  <c r="AM222" i="12"/>
  <c r="AM223" i="12"/>
  <c r="AM224" i="12"/>
  <c r="AM225" i="12"/>
  <c r="AM226" i="12"/>
  <c r="AM227" i="12"/>
  <c r="AM228" i="12"/>
  <c r="AM229" i="12"/>
  <c r="AM230" i="12"/>
  <c r="AM231" i="12"/>
  <c r="AM232" i="12"/>
  <c r="AM233" i="12"/>
  <c r="AM234" i="12"/>
  <c r="AM235" i="12"/>
  <c r="AM236" i="12"/>
  <c r="AM237" i="12"/>
  <c r="AM238" i="12"/>
  <c r="AM239" i="12"/>
  <c r="AM240" i="12"/>
  <c r="AM241" i="12"/>
  <c r="AM242" i="12"/>
  <c r="AM243" i="12"/>
  <c r="AM244" i="12"/>
  <c r="AM245" i="12"/>
  <c r="AM247" i="12"/>
  <c r="AM248" i="12"/>
  <c r="AM249" i="12"/>
  <c r="AM250" i="12"/>
  <c r="AM251" i="12"/>
  <c r="AM252" i="12"/>
  <c r="AM253" i="12"/>
  <c r="AM254" i="12"/>
  <c r="AM255" i="12"/>
  <c r="AM256" i="12"/>
  <c r="AM257" i="12"/>
  <c r="AM258" i="12"/>
  <c r="AM259" i="12"/>
  <c r="AM260" i="12"/>
  <c r="AM261" i="12"/>
  <c r="AM262" i="12"/>
  <c r="AM263" i="12"/>
  <c r="AM264" i="12"/>
  <c r="AM265" i="12"/>
  <c r="AM266" i="12"/>
  <c r="AM267" i="12"/>
  <c r="AM268" i="12"/>
  <c r="AM269" i="12"/>
  <c r="AM270" i="12"/>
  <c r="AM271" i="12"/>
  <c r="AM272" i="12"/>
  <c r="AM273" i="12"/>
  <c r="AM274" i="12"/>
  <c r="AM275" i="12"/>
  <c r="AM276" i="12"/>
  <c r="AM277" i="12"/>
  <c r="AM278" i="12"/>
  <c r="AM279" i="12"/>
  <c r="AM280" i="12"/>
  <c r="AM281" i="12"/>
  <c r="AM282" i="12"/>
  <c r="AM283" i="12"/>
  <c r="AM284" i="12"/>
  <c r="AM285" i="12"/>
  <c r="AM286" i="12"/>
  <c r="AM287" i="12"/>
  <c r="AM288" i="12"/>
  <c r="AM289" i="12"/>
  <c r="AM290" i="12"/>
  <c r="AM291" i="12"/>
  <c r="AM292" i="12"/>
  <c r="AM293" i="12"/>
  <c r="AM294" i="12"/>
  <c r="AM295" i="12"/>
  <c r="AM296" i="12"/>
  <c r="AM297" i="12"/>
  <c r="AM298" i="12"/>
  <c r="AM299" i="12"/>
  <c r="AM300" i="12"/>
  <c r="AM301" i="12"/>
  <c r="AM2" i="12"/>
  <c r="AC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05" i="12"/>
  <c r="AC106" i="12"/>
  <c r="AC107" i="12"/>
  <c r="AC108" i="12"/>
  <c r="AC109" i="12"/>
  <c r="AC110" i="12"/>
  <c r="AC111" i="12"/>
  <c r="AC112" i="12"/>
  <c r="AC113" i="12"/>
  <c r="AC114" i="12"/>
  <c r="AC115" i="12"/>
  <c r="AC116" i="12"/>
  <c r="AC117" i="12"/>
  <c r="AC118" i="12"/>
  <c r="AC119" i="12"/>
  <c r="AC120" i="12"/>
  <c r="AC121" i="12"/>
  <c r="AC122" i="12"/>
  <c r="AC123" i="12"/>
  <c r="AC124" i="12"/>
  <c r="AC125" i="12"/>
  <c r="AC126" i="12"/>
  <c r="AC127" i="12"/>
  <c r="AC128" i="12"/>
  <c r="AC129" i="12"/>
  <c r="AC130" i="12"/>
  <c r="AC131" i="12"/>
  <c r="AC132" i="12"/>
  <c r="AC133" i="12"/>
  <c r="AC134" i="12"/>
  <c r="AC135" i="12"/>
  <c r="AC136" i="12"/>
  <c r="AC137" i="12"/>
  <c r="AC138" i="12"/>
  <c r="AC139" i="12"/>
  <c r="AC140" i="12"/>
  <c r="AC141" i="12"/>
  <c r="AC142" i="12"/>
  <c r="AC143" i="12"/>
  <c r="AC144" i="12"/>
  <c r="AC145" i="12"/>
  <c r="AC146" i="12"/>
  <c r="AC147" i="12"/>
  <c r="AC148" i="12"/>
  <c r="AC149" i="12"/>
  <c r="AC150" i="12"/>
  <c r="AC151" i="12"/>
  <c r="AC152" i="12"/>
  <c r="AC153" i="12"/>
  <c r="AC154" i="12"/>
  <c r="AC155" i="12"/>
  <c r="AC156" i="12"/>
  <c r="AC157" i="12"/>
  <c r="AC158" i="12"/>
  <c r="AC159" i="12"/>
  <c r="AC160" i="12"/>
  <c r="AC161" i="12"/>
  <c r="AC162" i="12"/>
  <c r="AC163" i="12"/>
  <c r="AC164" i="12"/>
  <c r="AC165" i="12"/>
  <c r="AC166" i="12"/>
  <c r="AC167" i="12"/>
  <c r="AC168" i="12"/>
  <c r="AC169" i="12"/>
  <c r="AC170" i="12"/>
  <c r="AC171" i="12"/>
  <c r="AC172" i="12"/>
  <c r="AC173" i="12"/>
  <c r="AC174" i="12"/>
  <c r="AC175" i="12"/>
  <c r="AC176" i="12"/>
  <c r="AC177" i="12"/>
  <c r="AC178" i="12"/>
  <c r="AC179" i="12"/>
  <c r="AC180" i="12"/>
  <c r="AC181" i="12"/>
  <c r="AC182" i="12"/>
  <c r="AC183" i="12"/>
  <c r="AC184" i="12"/>
  <c r="AC185" i="12"/>
  <c r="AC186" i="12"/>
  <c r="AC187" i="12"/>
  <c r="AC188" i="12"/>
  <c r="AC189" i="12"/>
  <c r="AC190" i="12"/>
  <c r="AC191" i="12"/>
  <c r="AC192" i="12"/>
  <c r="AC193" i="12"/>
  <c r="AC194" i="12"/>
  <c r="AC195" i="12"/>
  <c r="AC196" i="12"/>
  <c r="AC197" i="12"/>
  <c r="AC198" i="12"/>
  <c r="AC199" i="12"/>
  <c r="AC200" i="12"/>
  <c r="AC201" i="12"/>
  <c r="AC202" i="12"/>
  <c r="AC203" i="12"/>
  <c r="AC204" i="12"/>
  <c r="AC205" i="12"/>
  <c r="AC206" i="12"/>
  <c r="AC207" i="12"/>
  <c r="AC208" i="12"/>
  <c r="AC209" i="12"/>
  <c r="AC210" i="12"/>
  <c r="AC211" i="12"/>
  <c r="AC212" i="12"/>
  <c r="AC213" i="12"/>
  <c r="AC214" i="12"/>
  <c r="AC215" i="12"/>
  <c r="AC216" i="12"/>
  <c r="AC217" i="12"/>
  <c r="AC218" i="12"/>
  <c r="AC219" i="12"/>
  <c r="AC220" i="12"/>
  <c r="AC221" i="12"/>
  <c r="AC222" i="12"/>
  <c r="AC223" i="12"/>
  <c r="AC224" i="12"/>
  <c r="AC225" i="12"/>
  <c r="AC226" i="12"/>
  <c r="AC227" i="12"/>
  <c r="AC228" i="12"/>
  <c r="AC229" i="12"/>
  <c r="AC230" i="12"/>
  <c r="AC231" i="12"/>
  <c r="AC232" i="12"/>
  <c r="AC233" i="12"/>
  <c r="AC234" i="12"/>
  <c r="AC235" i="12"/>
  <c r="AC236" i="12"/>
  <c r="AC237" i="12"/>
  <c r="AC238" i="12"/>
  <c r="AC239" i="12"/>
  <c r="AC240" i="12"/>
  <c r="AC241" i="12"/>
  <c r="AC242" i="12"/>
  <c r="AC243" i="12"/>
  <c r="AC244" i="12"/>
  <c r="AC245" i="12"/>
  <c r="AC246" i="12"/>
  <c r="AC247" i="12"/>
  <c r="AC248" i="12"/>
  <c r="AC249" i="12"/>
  <c r="AC250" i="12"/>
  <c r="AC251" i="12"/>
  <c r="AC252" i="12"/>
  <c r="AC253" i="12"/>
  <c r="AC254" i="12"/>
  <c r="AC255" i="12"/>
  <c r="AC256" i="12"/>
  <c r="AC257" i="12"/>
  <c r="AC258" i="12"/>
  <c r="AC259" i="12"/>
  <c r="AC260" i="12"/>
  <c r="AC261" i="12"/>
  <c r="AC262" i="12"/>
  <c r="AC263" i="12"/>
  <c r="AC264" i="12"/>
  <c r="AC265" i="12"/>
  <c r="AC266" i="12"/>
  <c r="AC267" i="12"/>
  <c r="AC268" i="12"/>
  <c r="AC269" i="12"/>
  <c r="AC270" i="12"/>
  <c r="AC271" i="12"/>
  <c r="AC272" i="12"/>
  <c r="AC273" i="12"/>
  <c r="AC274" i="12"/>
  <c r="AC275" i="12"/>
  <c r="AC276" i="12"/>
  <c r="AC277" i="12"/>
  <c r="AC278" i="12"/>
  <c r="AC279" i="12"/>
  <c r="AC280" i="12"/>
  <c r="AC281" i="12"/>
  <c r="AC282" i="12"/>
  <c r="AC283" i="12"/>
  <c r="AC284" i="12"/>
  <c r="AC285" i="12"/>
  <c r="AC286" i="12"/>
  <c r="AC287" i="12"/>
  <c r="AC288" i="12"/>
  <c r="AC289" i="12"/>
  <c r="AC290" i="12"/>
  <c r="AC291" i="12"/>
  <c r="AC292" i="12"/>
  <c r="AC293" i="12"/>
  <c r="AC294" i="12"/>
  <c r="AC295" i="12"/>
  <c r="AC296" i="12"/>
  <c r="AC297" i="12"/>
  <c r="AC298" i="12"/>
  <c r="AC299" i="12"/>
  <c r="AC300" i="12"/>
  <c r="AC301" i="12"/>
  <c r="AC2" i="12"/>
  <c r="AB3" i="12"/>
  <c r="AB4" i="12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138" i="12"/>
  <c r="AB139" i="12"/>
  <c r="AB140" i="12"/>
  <c r="AB141" i="12"/>
  <c r="AB142" i="12"/>
  <c r="AB143" i="12"/>
  <c r="AB144" i="12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60" i="12"/>
  <c r="AB161" i="12"/>
  <c r="AB162" i="12"/>
  <c r="AB163" i="12"/>
  <c r="AB164" i="12"/>
  <c r="AB165" i="12"/>
  <c r="AB166" i="12"/>
  <c r="AB167" i="12"/>
  <c r="AB168" i="12"/>
  <c r="AB169" i="12"/>
  <c r="AB170" i="12"/>
  <c r="AB171" i="12"/>
  <c r="AB172" i="12"/>
  <c r="AB173" i="12"/>
  <c r="AB174" i="12"/>
  <c r="AB175" i="12"/>
  <c r="AB176" i="12"/>
  <c r="AB177" i="12"/>
  <c r="AB178" i="12"/>
  <c r="AB179" i="12"/>
  <c r="AB180" i="12"/>
  <c r="AB181" i="12"/>
  <c r="AB182" i="12"/>
  <c r="AB183" i="12"/>
  <c r="AB184" i="12"/>
  <c r="AB185" i="12"/>
  <c r="AB186" i="12"/>
  <c r="AB187" i="12"/>
  <c r="AB188" i="12"/>
  <c r="AB189" i="12"/>
  <c r="AB190" i="12"/>
  <c r="AB191" i="12"/>
  <c r="AB192" i="12"/>
  <c r="AB193" i="12"/>
  <c r="AB194" i="12"/>
  <c r="AB195" i="12"/>
  <c r="AB196" i="12"/>
  <c r="AB197" i="12"/>
  <c r="AB198" i="12"/>
  <c r="AB199" i="12"/>
  <c r="AB200" i="12"/>
  <c r="AB201" i="12"/>
  <c r="AB202" i="12"/>
  <c r="AB203" i="12"/>
  <c r="AB204" i="12"/>
  <c r="AB205" i="12"/>
  <c r="AB206" i="12"/>
  <c r="AB207" i="12"/>
  <c r="AB208" i="12"/>
  <c r="AB209" i="12"/>
  <c r="AB210" i="12"/>
  <c r="AB211" i="12"/>
  <c r="AB212" i="12"/>
  <c r="AB213" i="12"/>
  <c r="AB214" i="12"/>
  <c r="AB215" i="12"/>
  <c r="AB216" i="12"/>
  <c r="AB217" i="12"/>
  <c r="AB218" i="12"/>
  <c r="AB219" i="12"/>
  <c r="AB220" i="12"/>
  <c r="AB221" i="12"/>
  <c r="AB222" i="12"/>
  <c r="AB223" i="12"/>
  <c r="AB224" i="12"/>
  <c r="AB225" i="12"/>
  <c r="AB226" i="12"/>
  <c r="AB227" i="12"/>
  <c r="AB228" i="12"/>
  <c r="AB229" i="12"/>
  <c r="AB230" i="12"/>
  <c r="AB231" i="12"/>
  <c r="AB232" i="12"/>
  <c r="AB233" i="12"/>
  <c r="AB234" i="12"/>
  <c r="AB235" i="12"/>
  <c r="AB236" i="12"/>
  <c r="AB237" i="12"/>
  <c r="AB238" i="12"/>
  <c r="AB239" i="12"/>
  <c r="AB240" i="12"/>
  <c r="AB241" i="12"/>
  <c r="AB242" i="12"/>
  <c r="AB243" i="12"/>
  <c r="AB244" i="12"/>
  <c r="AB245" i="12"/>
  <c r="AB246" i="12"/>
  <c r="AB247" i="12"/>
  <c r="AB248" i="12"/>
  <c r="AB249" i="12"/>
  <c r="AB250" i="12"/>
  <c r="AB251" i="12"/>
  <c r="AB252" i="12"/>
  <c r="AB253" i="12"/>
  <c r="AB254" i="12"/>
  <c r="AB255" i="12"/>
  <c r="AB256" i="12"/>
  <c r="AB257" i="12"/>
  <c r="AB258" i="12"/>
  <c r="AB259" i="12"/>
  <c r="AB260" i="12"/>
  <c r="AB261" i="12"/>
  <c r="AB262" i="12"/>
  <c r="AB263" i="12"/>
  <c r="AB264" i="12"/>
  <c r="AB265" i="12"/>
  <c r="AB266" i="12"/>
  <c r="AB267" i="12"/>
  <c r="AB268" i="12"/>
  <c r="AB269" i="12"/>
  <c r="AB270" i="12"/>
  <c r="AB271" i="12"/>
  <c r="AB272" i="12"/>
  <c r="AB273" i="12"/>
  <c r="AB274" i="12"/>
  <c r="AB275" i="12"/>
  <c r="AB276" i="12"/>
  <c r="AB277" i="12"/>
  <c r="AB278" i="12"/>
  <c r="AB279" i="12"/>
  <c r="AB280" i="12"/>
  <c r="AB281" i="12"/>
  <c r="AB282" i="12"/>
  <c r="AB283" i="12"/>
  <c r="AB284" i="12"/>
  <c r="AB285" i="12"/>
  <c r="AB286" i="12"/>
  <c r="AB287" i="12"/>
  <c r="AB288" i="12"/>
  <c r="AB289" i="12"/>
  <c r="AB290" i="12"/>
  <c r="AB291" i="12"/>
  <c r="AB292" i="12"/>
  <c r="AB293" i="12"/>
  <c r="AB294" i="12"/>
  <c r="AB295" i="12"/>
  <c r="AB296" i="12"/>
  <c r="AB297" i="12"/>
  <c r="AB298" i="12"/>
  <c r="AB299" i="12"/>
  <c r="AB300" i="12"/>
  <c r="AB301" i="12"/>
  <c r="AB2" i="12"/>
  <c r="AA3" i="12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20" i="12"/>
  <c r="AA221" i="12"/>
  <c r="AA222" i="12"/>
  <c r="AA223" i="12"/>
  <c r="AA224" i="12"/>
  <c r="AA225" i="12"/>
  <c r="AA226" i="12"/>
  <c r="AA227" i="12"/>
  <c r="AA228" i="12"/>
  <c r="AA229" i="12"/>
  <c r="AA230" i="12"/>
  <c r="AA231" i="12"/>
  <c r="AA232" i="12"/>
  <c r="AA233" i="12"/>
  <c r="AA234" i="12"/>
  <c r="AA235" i="12"/>
  <c r="AA236" i="12"/>
  <c r="AA237" i="12"/>
  <c r="AA238" i="12"/>
  <c r="AA239" i="12"/>
  <c r="AA240" i="12"/>
  <c r="AA241" i="12"/>
  <c r="AA242" i="12"/>
  <c r="AA243" i="12"/>
  <c r="AA244" i="12"/>
  <c r="AA245" i="12"/>
  <c r="AA246" i="12"/>
  <c r="AA247" i="12"/>
  <c r="AA248" i="12"/>
  <c r="AA249" i="12"/>
  <c r="AA250" i="12"/>
  <c r="AA251" i="12"/>
  <c r="AA252" i="12"/>
  <c r="AA253" i="12"/>
  <c r="AA254" i="12"/>
  <c r="AA255" i="12"/>
  <c r="AA256" i="12"/>
  <c r="AA257" i="12"/>
  <c r="AA258" i="12"/>
  <c r="AA259" i="12"/>
  <c r="AA260" i="12"/>
  <c r="AA261" i="12"/>
  <c r="AA262" i="12"/>
  <c r="AA263" i="12"/>
  <c r="AA264" i="12"/>
  <c r="AA265" i="12"/>
  <c r="AA266" i="12"/>
  <c r="AA267" i="12"/>
  <c r="AA268" i="12"/>
  <c r="AA269" i="12"/>
  <c r="AA270" i="12"/>
  <c r="AA271" i="12"/>
  <c r="AA272" i="12"/>
  <c r="AA273" i="12"/>
  <c r="AA274" i="12"/>
  <c r="AA275" i="12"/>
  <c r="AA276" i="12"/>
  <c r="AA277" i="12"/>
  <c r="AA278" i="12"/>
  <c r="AA279" i="12"/>
  <c r="AA280" i="12"/>
  <c r="AA281" i="12"/>
  <c r="AA282" i="12"/>
  <c r="AA283" i="12"/>
  <c r="AA284" i="12"/>
  <c r="AA285" i="12"/>
  <c r="AA286" i="12"/>
  <c r="AA287" i="12"/>
  <c r="AA288" i="12"/>
  <c r="AA289" i="12"/>
  <c r="AA290" i="12"/>
  <c r="AA291" i="12"/>
  <c r="AA292" i="12"/>
  <c r="AA293" i="12"/>
  <c r="AA294" i="12"/>
  <c r="AA295" i="12"/>
  <c r="AA296" i="12"/>
  <c r="AA297" i="12"/>
  <c r="AA298" i="12"/>
  <c r="AA299" i="12"/>
  <c r="AA300" i="12"/>
  <c r="AA301" i="12"/>
  <c r="AA2" i="12"/>
  <c r="W3" i="12"/>
  <c r="W4" i="12"/>
  <c r="W5" i="12"/>
  <c r="W6" i="12"/>
  <c r="W7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2" i="12"/>
  <c r="W93" i="12"/>
  <c r="W94" i="12"/>
  <c r="W95" i="12"/>
  <c r="W96" i="12"/>
  <c r="W97" i="12"/>
  <c r="W98" i="12"/>
  <c r="W99" i="12"/>
  <c r="W100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8" i="12"/>
  <c r="W119" i="12"/>
  <c r="W120" i="12"/>
  <c r="W121" i="12"/>
  <c r="W122" i="12"/>
  <c r="W123" i="12"/>
  <c r="W124" i="12"/>
  <c r="W125" i="12"/>
  <c r="W126" i="12"/>
  <c r="W127" i="12"/>
  <c r="W129" i="12"/>
  <c r="W130" i="12"/>
  <c r="W131" i="12"/>
  <c r="W133" i="12"/>
  <c r="W134" i="12"/>
  <c r="W135" i="12"/>
  <c r="W136" i="12"/>
  <c r="W137" i="12"/>
  <c r="W138" i="12"/>
  <c r="W140" i="12"/>
  <c r="W143" i="12"/>
  <c r="W144" i="12"/>
  <c r="W146" i="12"/>
  <c r="W147" i="12"/>
  <c r="W149" i="12"/>
  <c r="W150" i="12"/>
  <c r="W151" i="12"/>
  <c r="W152" i="12"/>
  <c r="W153" i="12"/>
  <c r="W155" i="12"/>
  <c r="W158" i="12"/>
  <c r="W159" i="12"/>
  <c r="W162" i="12"/>
  <c r="W164" i="12"/>
  <c r="W166" i="12"/>
  <c r="W169" i="12"/>
  <c r="W171" i="12"/>
  <c r="W173" i="12"/>
  <c r="W175" i="12"/>
  <c r="W176" i="12"/>
  <c r="W180" i="12"/>
  <c r="W181" i="12"/>
  <c r="W184" i="12"/>
  <c r="W186" i="12"/>
  <c r="W187" i="12"/>
  <c r="W188" i="12"/>
  <c r="W189" i="12"/>
  <c r="W190" i="12"/>
  <c r="W191" i="12"/>
  <c r="W192" i="12"/>
  <c r="W194" i="12"/>
  <c r="W196" i="12"/>
  <c r="W197" i="12"/>
  <c r="W211" i="12"/>
  <c r="W212" i="12"/>
  <c r="W213" i="12"/>
  <c r="W214" i="12"/>
  <c r="W216" i="12"/>
  <c r="W221" i="12"/>
  <c r="W222" i="12"/>
  <c r="W224" i="12"/>
  <c r="W225" i="12"/>
  <c r="W227" i="12"/>
  <c r="W229" i="12"/>
  <c r="W230" i="12"/>
  <c r="W232" i="12"/>
  <c r="W233" i="12"/>
  <c r="W236" i="12"/>
  <c r="W237" i="12"/>
  <c r="W240" i="12"/>
  <c r="W242" i="12"/>
  <c r="W244" i="12"/>
  <c r="W251" i="12"/>
  <c r="W252" i="12"/>
  <c r="W253" i="12"/>
  <c r="W254" i="12"/>
  <c r="W256" i="12"/>
  <c r="W257" i="12"/>
  <c r="W259" i="12"/>
  <c r="W260" i="12"/>
  <c r="W261" i="12"/>
  <c r="W263" i="12"/>
  <c r="W266" i="12"/>
  <c r="W267" i="12"/>
  <c r="W269" i="12"/>
  <c r="W270" i="12"/>
  <c r="W271" i="12"/>
  <c r="W273" i="12"/>
  <c r="W274" i="12"/>
  <c r="W275" i="12"/>
  <c r="W276" i="12"/>
  <c r="W277" i="12"/>
  <c r="W278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5" i="12"/>
  <c r="W296" i="12"/>
  <c r="W297" i="12"/>
  <c r="W298" i="12"/>
  <c r="W299" i="12"/>
  <c r="W300" i="12"/>
  <c r="W301" i="12"/>
  <c r="W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merged_data 3" description="Verbindung mit der Abfrage 'merged_data 3' in der Arbeitsmappe." type="5" refreshedVersion="8" background="1" saveData="1">
    <dbPr connection="Provider=Microsoft.Mashup.OleDb.1;Data Source=$Workbook$;Location=&quot;merged_data 3&quot;;Extended Properties=&quot;&quot;" command="SELECT * FROM [merged_data 3]"/>
  </connection>
</connections>
</file>

<file path=xl/sharedStrings.xml><?xml version="1.0" encoding="utf-8"?>
<sst xmlns="http://schemas.openxmlformats.org/spreadsheetml/2006/main" count="8601" uniqueCount="1249">
  <si>
    <t>Sample type</t>
  </si>
  <si>
    <t>N Different tissue pieces per slide_Resection/Biopsy</t>
  </si>
  <si>
    <t>Cancer content N specimens_Resection/Biopsy</t>
  </si>
  <si>
    <t>SpecimenSite</t>
  </si>
  <si>
    <t>TC_AI</t>
  </si>
  <si>
    <t>TumorDetect v1.2.0 - Key Result - TumorDetect</t>
  </si>
  <si>
    <t>Artifact Detect v3.0.0 - Supporting Result - Area of Total Tissue - mm^2</t>
  </si>
  <si>
    <t>N Different tissue pieces per slide_Resection/Biopsy_numeric</t>
  </si>
  <si>
    <t>Cancer content N specimens_Resection/Biopsy_numeric</t>
  </si>
  <si>
    <t>TC_Path_minus_TC_AI</t>
  </si>
  <si>
    <t>TC_FMI_minus_TC_AI</t>
  </si>
  <si>
    <t>PossiblyUltraLowTC</t>
  </si>
  <si>
    <t>Resection</t>
  </si>
  <si>
    <t>Good</t>
  </si>
  <si>
    <t>No</t>
  </si>
  <si>
    <t>Absent</t>
  </si>
  <si>
    <t>1</t>
  </si>
  <si>
    <t>Yes</t>
  </si>
  <si>
    <t>Low</t>
  </si>
  <si>
    <t>Liver</t>
  </si>
  <si>
    <t>Breast</t>
  </si>
  <si>
    <t>Possible cancer</t>
  </si>
  <si>
    <t>Biopsy</t>
  </si>
  <si>
    <t>12</t>
  </si>
  <si>
    <t>High</t>
  </si>
  <si>
    <t>Soft Tissue</t>
  </si>
  <si>
    <t>Satisfactory</t>
  </si>
  <si>
    <t>Minimal</t>
  </si>
  <si>
    <t>4</t>
  </si>
  <si>
    <t>5</t>
  </si>
  <si>
    <t>3</t>
  </si>
  <si>
    <t>2</t>
  </si>
  <si>
    <t>Cytology</t>
  </si>
  <si>
    <t>0</t>
  </si>
  <si>
    <t>Lymph Node</t>
  </si>
  <si>
    <t>Prominent</t>
  </si>
  <si>
    <t>Extensive</t>
  </si>
  <si>
    <t>Moderate</t>
  </si>
  <si>
    <t>Poor</t>
  </si>
  <si>
    <t>10</t>
  </si>
  <si>
    <t>6</t>
  </si>
  <si>
    <t>Intermediate</t>
  </si>
  <si>
    <t>Brain</t>
  </si>
  <si>
    <t>Bone</t>
  </si>
  <si>
    <t>Indeterminate</t>
  </si>
  <si>
    <t>17</t>
  </si>
  <si>
    <t>14</t>
  </si>
  <si>
    <t>9</t>
  </si>
  <si>
    <t>8</t>
  </si>
  <si>
    <t>Lung</t>
  </si>
  <si>
    <t>7</t>
  </si>
  <si>
    <t>Bladder</t>
  </si>
  <si>
    <t>Fragmented</t>
  </si>
  <si>
    <t>Skin</t>
  </si>
  <si>
    <t>Small Intestine</t>
  </si>
  <si>
    <t>Spine</t>
  </si>
  <si>
    <t>Bone Marrow</t>
  </si>
  <si>
    <t>11</t>
  </si>
  <si>
    <t>21</t>
  </si>
  <si>
    <t>Prostate</t>
  </si>
  <si>
    <t>16</t>
  </si>
  <si>
    <t>18</t>
  </si>
  <si>
    <t>Pancreas</t>
  </si>
  <si>
    <t>Peritoneum</t>
  </si>
  <si>
    <t>Pleura</t>
  </si>
  <si>
    <t>Thyroid</t>
  </si>
  <si>
    <t>Unknown</t>
  </si>
  <si>
    <t>Heart</t>
  </si>
  <si>
    <t>Head Or Neck</t>
  </si>
  <si>
    <t>Colon</t>
  </si>
  <si>
    <t>Ovary</t>
  </si>
  <si>
    <t>AI_%_of_fibroblasts_in_tumor</t>
  </si>
  <si>
    <t>AI_%_lymphocytes_in_tumor</t>
  </si>
  <si>
    <t>Primary</t>
  </si>
  <si>
    <t>Pseudonym</t>
  </si>
  <si>
    <t>Path_Margin Ink_Resection</t>
  </si>
  <si>
    <t>Path_Cancer_content_in_tissue_specimens_per_slide_Resection/Biopsy_Ratio</t>
  </si>
  <si>
    <t>TCC_Patho</t>
  </si>
  <si>
    <t>TCC_FMI</t>
  </si>
  <si>
    <t>TCC_Patho_minus_TCC_AI</t>
  </si>
  <si>
    <t>TCC_FMI_minus_TCC_AI</t>
  </si>
  <si>
    <t>TCC_Patho_minus_TCC_FMI</t>
  </si>
  <si>
    <t>Other</t>
  </si>
  <si>
    <t>Cancer</t>
  </si>
  <si>
    <t>AI_cancer_area_%_per_tumor</t>
  </si>
  <si>
    <t>AI_total_tumor_area_%</t>
  </si>
  <si>
    <t>AI_total_cancer_area_%</t>
  </si>
  <si>
    <t>TCC_AI_rounded_0.5</t>
  </si>
  <si>
    <t>AI_total_stroma_area_%</t>
  </si>
  <si>
    <t>AI_total_necrosis_area_%</t>
  </si>
  <si>
    <t>AI_immune_cell_density_in_tumor_mm2</t>
  </si>
  <si>
    <t>AI_total_cell_density_in_tumor_mm2</t>
  </si>
  <si>
    <t>SpecimenSiteGrouped_01</t>
  </si>
  <si>
    <t>AI_scanning_artifacts_area_%</t>
  </si>
  <si>
    <t>Foundation.Model...TME.v1.0.1.alpha...Supporting.Result...Total.number.of.cells.in.normal.tissue</t>
  </si>
  <si>
    <t>Path_Hemorrhage</t>
  </si>
  <si>
    <t>Path_Tumor Infiltrating lymphocytes</t>
  </si>
  <si>
    <t>Path_High content of intratumoral immune infiltrates</t>
  </si>
  <si>
    <t>Path_Highly cellular stroma</t>
  </si>
  <si>
    <t>Path_Tetriary Lymphoid Structures</t>
  </si>
  <si>
    <t>Path_Tumor-Stroma Content</t>
  </si>
  <si>
    <t>Path_Necrosis</t>
  </si>
  <si>
    <t>AI_%_of_immune_cells_in_tumor</t>
  </si>
  <si>
    <t>Path_Immune aggregates</t>
  </si>
  <si>
    <t>AI_fibroblast_density_in_tumor_mm2</t>
  </si>
  <si>
    <t>AI_%_of_non_immune_cells_in_tumor</t>
  </si>
  <si>
    <t>AI_non_immune_cell_density_in_tumor_mm2</t>
  </si>
  <si>
    <t>Foundation.Model...TME.v1.0.1.alpha...Key.Result...Total.area.of.tissue...mm.2</t>
  </si>
  <si>
    <t>Foundation.Model...TME.v1.0.1.alpha...Key.Result...Total.area.of.tumor...mm.2</t>
  </si>
  <si>
    <t>Foundation.Model...TME.v1.0.1.alpha...Supporting.Result...Total.area.of.cancer...mm.2</t>
  </si>
  <si>
    <t>Foundation.Model...TME.v1.0.1.alpha...Supporting.Result...Total.area.of.stroma...mm.2</t>
  </si>
  <si>
    <t>Foundation.Model...TME.v1.0.1.alpha...Supporting.Result...Total.area.of.necrosis...mm.2</t>
  </si>
  <si>
    <t>Foundation.Model...TME.v1.0.1.alpha...Supporting.Result...Total.number.of.cells.in.tissue</t>
  </si>
  <si>
    <t>Foundation.Model...TME.v1.0.1.alpha...Supporting.Result...Total.number.of.cancer.cells.in.tumor</t>
  </si>
  <si>
    <t>Foundation.Model...TME.v1.0.1.alpha...Supporting.Result...Total.number.of.fibroblasts.in.tumor</t>
  </si>
  <si>
    <t>Foundation.Model...TME.v1.0.1.alpha...Supporting.Result...Total.number.of.macrophages.in.tumor</t>
  </si>
  <si>
    <t>Foundation.Model...TME.v1.0.1.alpha...Supporting.Result...Total.number.of.plasma.cells.in.tumor</t>
  </si>
  <si>
    <t>Foundation.Model...TME.v1.0.1.alpha...Supporting.Result...Total.number.of.lymphocytes.in.tumor</t>
  </si>
  <si>
    <t>Foundation.Model...TME.v1.0.1.alpha...Supporting.Result...Total.number.of.neutrophils.in.tumor</t>
  </si>
  <si>
    <t>Foundation.Model...TME.v1.0.1.alpha...Supporting.Result...Total.number.of.endothelial.cells.in.tumor</t>
  </si>
  <si>
    <t>Foundation.Model...TME.v1.0.1.alpha...Supporting.Result...Total.number.of.other.cells.in.tumor</t>
  </si>
  <si>
    <t>TumorDetect v1.2.0 - Supporting Result - Area of Necrosis - mm^2</t>
  </si>
  <si>
    <t>Artifact Detect v3.0.0 - Key Result - % Tissue with artifacts Coverslipping - %</t>
  </si>
  <si>
    <t>Artifact Detect v3.0.0 - Key Result - % Tissue with artifacts Sectioning - %</t>
  </si>
  <si>
    <t>Artifact Detect v3.0.0 - Key Result - % Tissue with artifacts Grossing/Marker - %</t>
  </si>
  <si>
    <t>Artifact Detect v3.0.0 - Key Result - % Tissue with artifacts Other - %</t>
  </si>
  <si>
    <t>Artifact Detect v3.0.0 - Supporting Result - Area of Evaluable Tissue - mm^2</t>
  </si>
  <si>
    <t>2,37</t>
  </si>
  <si>
    <t>16,850000000000001</t>
  </si>
  <si>
    <t>23,8500000000000014</t>
  </si>
  <si>
    <t>0,19</t>
  </si>
  <si>
    <t>0,06</t>
  </si>
  <si>
    <t>-3,899999999999999</t>
  </si>
  <si>
    <t>5,1000000000000014</t>
  </si>
  <si>
    <t>0,62</t>
  </si>
  <si>
    <t>0,02</t>
  </si>
  <si>
    <t>0,03</t>
  </si>
  <si>
    <t>5,500000000000000</t>
  </si>
  <si>
    <t>-16,5000000000000000</t>
  </si>
  <si>
    <t>1,79</t>
  </si>
  <si>
    <t>0,98</t>
  </si>
  <si>
    <t>13,780000000000001</t>
  </si>
  <si>
    <t>9,7800000000000011</t>
  </si>
  <si>
    <t>0,01</t>
  </si>
  <si>
    <t>-22,979999999999997</t>
  </si>
  <si>
    <t>0,0200000000000031</t>
  </si>
  <si>
    <t>0,57</t>
  </si>
  <si>
    <t>0,05</t>
  </si>
  <si>
    <t>-18,159999999999997</t>
  </si>
  <si>
    <t>1,8400000000000034</t>
  </si>
  <si>
    <t>2,44</t>
  </si>
  <si>
    <t>0,12</t>
  </si>
  <si>
    <t>8,24</t>
  </si>
  <si>
    <t>-66,109999999999999</t>
  </si>
  <si>
    <t>-8,1099999999999994</t>
  </si>
  <si>
    <t>1,21</t>
  </si>
  <si>
    <t>3,54</t>
  </si>
  <si>
    <t>2,390000000000001</t>
  </si>
  <si>
    <t>1,3900000000000006</t>
  </si>
  <si>
    <t>1,71</t>
  </si>
  <si>
    <t>51,259999999999998</t>
  </si>
  <si>
    <t>1,2599999999999980</t>
  </si>
  <si>
    <t>4,43</t>
  </si>
  <si>
    <t>0,349999999999994</t>
  </si>
  <si>
    <t>5,3499999999999943</t>
  </si>
  <si>
    <t>0,00</t>
  </si>
  <si>
    <t>54,269999999999996</t>
  </si>
  <si>
    <t>36,2699999999999960</t>
  </si>
  <si>
    <t>8,38</t>
  </si>
  <si>
    <t>20,450000000000003</t>
  </si>
  <si>
    <t>55,4500000000000028</t>
  </si>
  <si>
    <t>0,25</t>
  </si>
  <si>
    <t>0,38</t>
  </si>
  <si>
    <t>21,030000000000001</t>
  </si>
  <si>
    <t>11,0300000000000011</t>
  </si>
  <si>
    <t>0,10</t>
  </si>
  <si>
    <t>0,17</t>
  </si>
  <si>
    <t>0,560000000000002</t>
  </si>
  <si>
    <t>15,5600000000000023</t>
  </si>
  <si>
    <t>0,07</t>
  </si>
  <si>
    <t>18,939999999999998</t>
  </si>
  <si>
    <t>-5,0600000000000023</t>
  </si>
  <si>
    <t>31,659999999999997</t>
  </si>
  <si>
    <t>-13,3400000000000034</t>
  </si>
  <si>
    <t>3,23</t>
  </si>
  <si>
    <t>-25,450000000000003</t>
  </si>
  <si>
    <t>-12,4500000000000028</t>
  </si>
  <si>
    <t>2,73</t>
  </si>
  <si>
    <t>0,97</t>
  </si>
  <si>
    <t>6,450000000000003</t>
  </si>
  <si>
    <t>9,4500000000000028</t>
  </si>
  <si>
    <t>0,77</t>
  </si>
  <si>
    <t>-18,189999999999998</t>
  </si>
  <si>
    <t>3,8100000000000023</t>
  </si>
  <si>
    <t>3,62</t>
  </si>
  <si>
    <t>0,64</t>
  </si>
  <si>
    <t>3,700000000000003</t>
  </si>
  <si>
    <t>-4,2999999999999972</t>
  </si>
  <si>
    <t>2,04</t>
  </si>
  <si>
    <t>24,560000000000002</t>
  </si>
  <si>
    <t>19,5600000000000023</t>
  </si>
  <si>
    <t>0,04</t>
  </si>
  <si>
    <t>0,15</t>
  </si>
  <si>
    <t>-18,129999999999995</t>
  </si>
  <si>
    <t>-1,1299999999999955</t>
  </si>
  <si>
    <t>3,13</t>
  </si>
  <si>
    <t>11,310000000000002</t>
  </si>
  <si>
    <t>8,3100000000000023</t>
  </si>
  <si>
    <t>4,799999999999997</t>
  </si>
  <si>
    <t>11,7999999999999972</t>
  </si>
  <si>
    <t>0,29</t>
  </si>
  <si>
    <t>2,30</t>
  </si>
  <si>
    <t>-23,409999999999997</t>
  </si>
  <si>
    <t>1,5900000000000034</t>
  </si>
  <si>
    <t>0,90</t>
  </si>
  <si>
    <t>13,750000000000000</t>
  </si>
  <si>
    <t>20,7500000000000000</t>
  </si>
  <si>
    <t>-7,450000000000003</t>
  </si>
  <si>
    <t>4,5499999999999972</t>
  </si>
  <si>
    <t>7,270000000000003</t>
  </si>
  <si>
    <t>19,2700000000000031</t>
  </si>
  <si>
    <t>3,94</t>
  </si>
  <si>
    <t>7,149999999999999</t>
  </si>
  <si>
    <t>17,1499999999999986</t>
  </si>
  <si>
    <t>21,850000000000001</t>
  </si>
  <si>
    <t>6,8500000000000014</t>
  </si>
  <si>
    <t>7,84</t>
  </si>
  <si>
    <t>-2,659999999999997</t>
  </si>
  <si>
    <t>-7,6599999999999966</t>
  </si>
  <si>
    <t>2,14</t>
  </si>
  <si>
    <t>7,750000000000000</t>
  </si>
  <si>
    <t>15,7500000000000000</t>
  </si>
  <si>
    <t>3,44</t>
  </si>
  <si>
    <t>31,170000000000002</t>
  </si>
  <si>
    <t>39,1700000000000017</t>
  </si>
  <si>
    <t>0,85</t>
  </si>
  <si>
    <t>-17,920000000000002</t>
  </si>
  <si>
    <t>-12,9200000000000017</t>
  </si>
  <si>
    <t>0,20</t>
  </si>
  <si>
    <t>13,189999999999998</t>
  </si>
  <si>
    <t>2,1899999999999977</t>
  </si>
  <si>
    <t>10,229999999999997</t>
  </si>
  <si>
    <t>12,2299999999999969</t>
  </si>
  <si>
    <t>0,42</t>
  </si>
  <si>
    <t>58,390000000000001</t>
  </si>
  <si>
    <t>35,3900000000000006</t>
  </si>
  <si>
    <t>1,16</t>
  </si>
  <si>
    <t>0,88</t>
  </si>
  <si>
    <t>10,030000000000001</t>
  </si>
  <si>
    <t>14,0300000000000011</t>
  </si>
  <si>
    <t>10,350000000000001</t>
  </si>
  <si>
    <t>-9,6499999999999986</t>
  </si>
  <si>
    <t>0,35</t>
  </si>
  <si>
    <t>-6,379999999999995</t>
  </si>
  <si>
    <t>0,6200000000000045</t>
  </si>
  <si>
    <t>2,17</t>
  </si>
  <si>
    <t>2,85</t>
  </si>
  <si>
    <t>-1,960000000000001</t>
  </si>
  <si>
    <t>-8,9600000000000009</t>
  </si>
  <si>
    <t>25,03</t>
  </si>
  <si>
    <t>0,08</t>
  </si>
  <si>
    <t>46,890000000000001</t>
  </si>
  <si>
    <t>23,8900000000000006</t>
  </si>
  <si>
    <t>0,24</t>
  </si>
  <si>
    <t>0,37</t>
  </si>
  <si>
    <t>29,799999999999997</t>
  </si>
  <si>
    <t>17,7999999999999972</t>
  </si>
  <si>
    <t>0,11</t>
  </si>
  <si>
    <t>10,219999999999999</t>
  </si>
  <si>
    <t>20,2199999999999989</t>
  </si>
  <si>
    <t>0,140000000000001</t>
  </si>
  <si>
    <t>-18,8599999999999994</t>
  </si>
  <si>
    <t>2,77</t>
  </si>
  <si>
    <t>13,380000000000003</t>
  </si>
  <si>
    <t>-40,6199999999999974</t>
  </si>
  <si>
    <t>0,33</t>
  </si>
  <si>
    <t>0,80</t>
  </si>
  <si>
    <t>-27,570000000000000</t>
  </si>
  <si>
    <t>-5,5700000000000003</t>
  </si>
  <si>
    <t>-1,349999999999994</t>
  </si>
  <si>
    <t>3,6500000000000057</t>
  </si>
  <si>
    <t>5,41</t>
  </si>
  <si>
    <t>0,13</t>
  </si>
  <si>
    <t>-36,939999999999998</t>
  </si>
  <si>
    <t>21,0600000000000023</t>
  </si>
  <si>
    <t>0,09</t>
  </si>
  <si>
    <t>0,659999999999997</t>
  </si>
  <si>
    <t>-1,3400000000000034</t>
  </si>
  <si>
    <t>6,65</t>
  </si>
  <si>
    <t>-41,920000000000002</t>
  </si>
  <si>
    <t>3,0799999999999983</t>
  </si>
  <si>
    <t>0,21</t>
  </si>
  <si>
    <t>-0,260000000000002</t>
  </si>
  <si>
    <t>36,7399999999999949</t>
  </si>
  <si>
    <t>3,77</t>
  </si>
  <si>
    <t>-13,950000000000003</t>
  </si>
  <si>
    <t>20,0499999999999972</t>
  </si>
  <si>
    <t>2,28</t>
  </si>
  <si>
    <t>-19,659999999999997</t>
  </si>
  <si>
    <t>-6,6599999999999966</t>
  </si>
  <si>
    <t>23,140000000000001</t>
  </si>
  <si>
    <t>12,1400000000000006</t>
  </si>
  <si>
    <t>2,21</t>
  </si>
  <si>
    <t>-0,810000000000002</t>
  </si>
  <si>
    <t>11,1899999999999977</t>
  </si>
  <si>
    <t>0,73</t>
  </si>
  <si>
    <t>27,699999999999999</t>
  </si>
  <si>
    <t>17,6999999999999993</t>
  </si>
  <si>
    <t>1,29</t>
  </si>
  <si>
    <t>25,439999999999998</t>
  </si>
  <si>
    <t>6,4399999999999977</t>
  </si>
  <si>
    <t>1,11</t>
  </si>
  <si>
    <t>-0,510000000000002</t>
  </si>
  <si>
    <t>27,4899999999999984</t>
  </si>
  <si>
    <t>4,590000000000003</t>
  </si>
  <si>
    <t>13,5900000000000034</t>
  </si>
  <si>
    <t>1,59</t>
  </si>
  <si>
    <t>47,370000000000005</t>
  </si>
  <si>
    <t>23,3700000000000010</t>
  </si>
  <si>
    <t>0,87</t>
  </si>
  <si>
    <t>11,500000000000000</t>
  </si>
  <si>
    <t>11,5000000000000000</t>
  </si>
  <si>
    <t>8,560000000000002</t>
  </si>
  <si>
    <t>13,5600000000000023</t>
  </si>
  <si>
    <t>1,64</t>
  </si>
  <si>
    <t>10,6599999999999966</t>
  </si>
  <si>
    <t>15,670000000000002</t>
  </si>
  <si>
    <t>11,6700000000000017</t>
  </si>
  <si>
    <t>4,84</t>
  </si>
  <si>
    <t>27,189999999999998</t>
  </si>
  <si>
    <t>42,1899999999999977</t>
  </si>
  <si>
    <t>0,39</t>
  </si>
  <si>
    <t>-5,740000000000002</t>
  </si>
  <si>
    <t>-13,7400000000000020</t>
  </si>
  <si>
    <t>17,480000000000000</t>
  </si>
  <si>
    <t>7,4800000000000004</t>
  </si>
  <si>
    <t>8,420000000000002</t>
  </si>
  <si>
    <t>-2,5799999999999983</t>
  </si>
  <si>
    <t>0,36</t>
  </si>
  <si>
    <t>41,880000000000003</t>
  </si>
  <si>
    <t>41,8800000000000026</t>
  </si>
  <si>
    <t>0,54</t>
  </si>
  <si>
    <t>-7,659999999999997</t>
  </si>
  <si>
    <t>32,3400000000000034</t>
  </si>
  <si>
    <t>-1,739999999999998</t>
  </si>
  <si>
    <t>-5,7399999999999984</t>
  </si>
  <si>
    <t>-20,469999999999999</t>
  </si>
  <si>
    <t>-7,4699999999999989</t>
  </si>
  <si>
    <t>0,84</t>
  </si>
  <si>
    <t>59,280000000000001</t>
  </si>
  <si>
    <t>19,2800000000000011</t>
  </si>
  <si>
    <t>-8,510000000000005</t>
  </si>
  <si>
    <t>-18,5100000000000051</t>
  </si>
  <si>
    <t>13,91</t>
  </si>
  <si>
    <t>55,130000000000003</t>
  </si>
  <si>
    <t>1,1300000000000008</t>
  </si>
  <si>
    <t>0,66</t>
  </si>
  <si>
    <t>57,810000000000002</t>
  </si>
  <si>
    <t>16,8100000000000023</t>
  </si>
  <si>
    <t>13,460000000000001</t>
  </si>
  <si>
    <t>-17,5399999999999991</t>
  </si>
  <si>
    <t>32,030000000000001</t>
  </si>
  <si>
    <t>27,0300000000000011</t>
  </si>
  <si>
    <t>1,26</t>
  </si>
  <si>
    <t>-14,420000000000002</t>
  </si>
  <si>
    <t>-33,4200000000000017</t>
  </si>
  <si>
    <t>-7,090000000000003</t>
  </si>
  <si>
    <t>-21,0900000000000034</t>
  </si>
  <si>
    <t>-19,109999999999999</t>
  </si>
  <si>
    <t>-3,1099999999999994</t>
  </si>
  <si>
    <t>1,50</t>
  </si>
  <si>
    <t>6,81</t>
  </si>
  <si>
    <t>-24,310000000000002</t>
  </si>
  <si>
    <t>13,6899999999999977</t>
  </si>
  <si>
    <t>13,02</t>
  </si>
  <si>
    <t>21,390000000000001</t>
  </si>
  <si>
    <t>16,3900000000000006</t>
  </si>
  <si>
    <t>1,09</t>
  </si>
  <si>
    <t>7,880000000000003</t>
  </si>
  <si>
    <t>-2,1199999999999974</t>
  </si>
  <si>
    <t>2,79</t>
  </si>
  <si>
    <t>0,58</t>
  </si>
  <si>
    <t>0,27</t>
  </si>
  <si>
    <t>0,31</t>
  </si>
  <si>
    <t>40,840000000000003</t>
  </si>
  <si>
    <t>39,8400000000000034</t>
  </si>
  <si>
    <t>0,23</t>
  </si>
  <si>
    <t>0,16</t>
  </si>
  <si>
    <t>42,850000000000001</t>
  </si>
  <si>
    <t>26,8500000000000014</t>
  </si>
  <si>
    <t>22,210000000000001</t>
  </si>
  <si>
    <t>19,2100000000000009</t>
  </si>
  <si>
    <t>-5,289999999999999</t>
  </si>
  <si>
    <t>9,7100000000000009</t>
  </si>
  <si>
    <t>0,79</t>
  </si>
  <si>
    <t>1,20</t>
  </si>
  <si>
    <t>-20,170000000000002</t>
  </si>
  <si>
    <t>-8,1700000000000017</t>
  </si>
  <si>
    <t>1,53</t>
  </si>
  <si>
    <t>34,649999999999999</t>
  </si>
  <si>
    <t>16,6499999999999986</t>
  </si>
  <si>
    <t>-23,870000000000005</t>
  </si>
  <si>
    <t>-13,8700000000000045</t>
  </si>
  <si>
    <t>2,56</t>
  </si>
  <si>
    <t>12,149999999999999</t>
  </si>
  <si>
    <t>27,1499999999999986</t>
  </si>
  <si>
    <t>3,10</t>
  </si>
  <si>
    <t>-9,820000000000000</t>
  </si>
  <si>
    <t>14,1799999999999997</t>
  </si>
  <si>
    <t>0,51</t>
  </si>
  <si>
    <t>-6,579999999999998</t>
  </si>
  <si>
    <t>-0,5799999999999983</t>
  </si>
  <si>
    <t>1,57</t>
  </si>
  <si>
    <t>-12,420000000000002</t>
  </si>
  <si>
    <t>-3,4200000000000017</t>
  </si>
  <si>
    <t>-18,780000000000001</t>
  </si>
  <si>
    <t>10,2199999999999989</t>
  </si>
  <si>
    <t>1,050000000000001</t>
  </si>
  <si>
    <t>65,0499999999999972</t>
  </si>
  <si>
    <t>0,65</t>
  </si>
  <si>
    <t>1,41</t>
  </si>
  <si>
    <t>32,189999999999998</t>
  </si>
  <si>
    <t>32,1899999999999977</t>
  </si>
  <si>
    <t>31,859999999999999</t>
  </si>
  <si>
    <t>43,8599999999999994</t>
  </si>
  <si>
    <t>0,72</t>
  </si>
  <si>
    <t>28,250000000000000</t>
  </si>
  <si>
    <t>10,2500000000000000</t>
  </si>
  <si>
    <t>1,40</t>
  </si>
  <si>
    <t>-6,750000000000000</t>
  </si>
  <si>
    <t>15,2500000000000000</t>
  </si>
  <si>
    <t>40,509999999999998</t>
  </si>
  <si>
    <t>10,5099999999999998</t>
  </si>
  <si>
    <t>17,789999999999999</t>
  </si>
  <si>
    <t>27,7899999999999991</t>
  </si>
  <si>
    <t>27,530000000000001</t>
  </si>
  <si>
    <t>3,5300000000000011</t>
  </si>
  <si>
    <t>30,600000000000001</t>
  </si>
  <si>
    <t>18,6000000000000014</t>
  </si>
  <si>
    <t>11,439999999999998</t>
  </si>
  <si>
    <t>-6,5600000000000023</t>
  </si>
  <si>
    <t>0,18</t>
  </si>
  <si>
    <t>2,1000000000000014</t>
  </si>
  <si>
    <t>10,199999999999999</t>
  </si>
  <si>
    <t>22,1999999999999993</t>
  </si>
  <si>
    <t>57,980000000000004</t>
  </si>
  <si>
    <t>76,9800000000000040</t>
  </si>
  <si>
    <t>5,62</t>
  </si>
  <si>
    <t>20,710000000000001</t>
  </si>
  <si>
    <t>5,7100000000000009</t>
  </si>
  <si>
    <t>1,63</t>
  </si>
  <si>
    <t>37,310000000000002</t>
  </si>
  <si>
    <t>13,3100000000000023</t>
  </si>
  <si>
    <t>-6,960000000000001</t>
  </si>
  <si>
    <t>-11,9600000000000009</t>
  </si>
  <si>
    <t>9,230000000000000</t>
  </si>
  <si>
    <t>-0,7699999999999996</t>
  </si>
  <si>
    <t>-22,530000000000001</t>
  </si>
  <si>
    <t>-2,5300000000000011</t>
  </si>
  <si>
    <t>20,689999999999998</t>
  </si>
  <si>
    <t>-19,3100000000000023</t>
  </si>
  <si>
    <t>12,05</t>
  </si>
  <si>
    <t>-24,019999999999996</t>
  </si>
  <si>
    <t>-1,0199999999999960</t>
  </si>
  <si>
    <t>6,23</t>
  </si>
  <si>
    <t>17,600000000000001</t>
  </si>
  <si>
    <t>-0,4000000000000004</t>
  </si>
  <si>
    <t>4,58</t>
  </si>
  <si>
    <t>26,090000000000000</t>
  </si>
  <si>
    <t>7,0899999999999999</t>
  </si>
  <si>
    <t>21,789999999999999</t>
  </si>
  <si>
    <t>36,7899999999999991</t>
  </si>
  <si>
    <t>20,810000000000002</t>
  </si>
  <si>
    <t>8,8100000000000023</t>
  </si>
  <si>
    <t>9,359999999999999</t>
  </si>
  <si>
    <t>-10,6400000000000006</t>
  </si>
  <si>
    <t>-5,500000000000000</t>
  </si>
  <si>
    <t>1,5000000000000000</t>
  </si>
  <si>
    <t>-24,900000000000006</t>
  </si>
  <si>
    <t>-2,9000000000000057</t>
  </si>
  <si>
    <t>1,42</t>
  </si>
  <si>
    <t>11,680000000000000</t>
  </si>
  <si>
    <t>19,6799999999999997</t>
  </si>
  <si>
    <t>1,98</t>
  </si>
  <si>
    <t>0,63</t>
  </si>
  <si>
    <t>14,930000000000000</t>
  </si>
  <si>
    <t>12,9299999999999997</t>
  </si>
  <si>
    <t>-5,730000000000000</t>
  </si>
  <si>
    <t>-6,7300000000000004</t>
  </si>
  <si>
    <t>1,45</t>
  </si>
  <si>
    <t>-1,289999999999999</t>
  </si>
  <si>
    <t>4,7100000000000009</t>
  </si>
  <si>
    <t>4,02</t>
  </si>
  <si>
    <t>9,350000000000001</t>
  </si>
  <si>
    <t>8,09</t>
  </si>
  <si>
    <t>14,230000000000000</t>
  </si>
  <si>
    <t>3,2300000000000004</t>
  </si>
  <si>
    <t>-17,969999999999999</t>
  </si>
  <si>
    <t>-22,9699999999999989</t>
  </si>
  <si>
    <t>3,89</t>
  </si>
  <si>
    <t>46,399999999999999</t>
  </si>
  <si>
    <t>23,3999999999999986</t>
  </si>
  <si>
    <t>7,74</t>
  </si>
  <si>
    <t>5,440000000000001</t>
  </si>
  <si>
    <t>-3,5599999999999987</t>
  </si>
  <si>
    <t>-7,020000000000000</t>
  </si>
  <si>
    <t>5,9800000000000004</t>
  </si>
  <si>
    <t>21,680000000000000</t>
  </si>
  <si>
    <t>1,6799999999999997</t>
  </si>
  <si>
    <t>38,009999999999998</t>
  </si>
  <si>
    <t>19,0099999999999980</t>
  </si>
  <si>
    <t>13,590000000000003</t>
  </si>
  <si>
    <t>24,5900000000000034</t>
  </si>
  <si>
    <t>-11,469999999999999</t>
  </si>
  <si>
    <t>6,5300000000000011</t>
  </si>
  <si>
    <t>5,11</t>
  </si>
  <si>
    <t>17,170000000000002</t>
  </si>
  <si>
    <t>32,1700000000000017</t>
  </si>
  <si>
    <t>11,270000000000003</t>
  </si>
  <si>
    <t>-8,7299999999999969</t>
  </si>
  <si>
    <t>10,42</t>
  </si>
  <si>
    <t>11,810000000000002</t>
  </si>
  <si>
    <t>13,8100000000000023</t>
  </si>
  <si>
    <t>6,219999999999999</t>
  </si>
  <si>
    <t>15,2199999999999989</t>
  </si>
  <si>
    <t>14,220000000000001</t>
  </si>
  <si>
    <t>-5,7799999999999994</t>
  </si>
  <si>
    <t>12,91</t>
  </si>
  <si>
    <t>-31,310000000000002</t>
  </si>
  <si>
    <t>-13,3100000000000023</t>
  </si>
  <si>
    <t>0,61</t>
  </si>
  <si>
    <t>-22,899999999999999</t>
  </si>
  <si>
    <t>-32,8999999999999986</t>
  </si>
  <si>
    <t>7,69</t>
  </si>
  <si>
    <t>-24,859999999999999</t>
  </si>
  <si>
    <t>-0,8599999999999994</t>
  </si>
  <si>
    <t>63,259999999999998</t>
  </si>
  <si>
    <t>63,2599999999999980</t>
  </si>
  <si>
    <t>0,76</t>
  </si>
  <si>
    <t>-9,329999999999998</t>
  </si>
  <si>
    <t>-9,3299999999999983</t>
  </si>
  <si>
    <t>0,34</t>
  </si>
  <si>
    <t>12,770000000000003</t>
  </si>
  <si>
    <t>55,7700000000000031</t>
  </si>
  <si>
    <t>-22,759999999999998</t>
  </si>
  <si>
    <t>-12,7599999999999980</t>
  </si>
  <si>
    <t>0,120000000000001</t>
  </si>
  <si>
    <t>5,1200000000000010</t>
  </si>
  <si>
    <t>8,50</t>
  </si>
  <si>
    <t>-33,500000000000000</t>
  </si>
  <si>
    <t>-7,5000000000000000</t>
  </si>
  <si>
    <t>2,05</t>
  </si>
  <si>
    <t>23,130000000000003</t>
  </si>
  <si>
    <t>34,1300000000000026</t>
  </si>
  <si>
    <t>-5,780000000000001</t>
  </si>
  <si>
    <t>4,2199999999999989</t>
  </si>
  <si>
    <t>24,80</t>
  </si>
  <si>
    <t>5,57</t>
  </si>
  <si>
    <t>-4,800000000000001</t>
  </si>
  <si>
    <t>71,2000000000000028</t>
  </si>
  <si>
    <t>-24,609999999999999</t>
  </si>
  <si>
    <t>-0,6099999999999994</t>
  </si>
  <si>
    <t>20,420000000000002</t>
  </si>
  <si>
    <t>-18,5799999999999983</t>
  </si>
  <si>
    <t>9,48</t>
  </si>
  <si>
    <t>35,670000000000002</t>
  </si>
  <si>
    <t>-20,229999999999997</t>
  </si>
  <si>
    <t>1,7700000000000031</t>
  </si>
  <si>
    <t>3,71</t>
  </si>
  <si>
    <t>26,380000000000003</t>
  </si>
  <si>
    <t>12,3800000000000026</t>
  </si>
  <si>
    <t>2,16</t>
  </si>
  <si>
    <t>2,86</t>
  </si>
  <si>
    <t>-30,659999999999997</t>
  </si>
  <si>
    <t>2,3400000000000034</t>
  </si>
  <si>
    <t>16,829999999999998</t>
  </si>
  <si>
    <t>45,8299999999999983</t>
  </si>
  <si>
    <t>37,91</t>
  </si>
  <si>
    <t>-17,280000000000001</t>
  </si>
  <si>
    <t>-3,2800000000000011</t>
  </si>
  <si>
    <t>24,14</t>
  </si>
  <si>
    <t>31,119999999999997</t>
  </si>
  <si>
    <t>31,1199999999999974</t>
  </si>
  <si>
    <t>17,770000000000000</t>
  </si>
  <si>
    <t>18,7699999999999996</t>
  </si>
  <si>
    <t>14,20</t>
  </si>
  <si>
    <t>-11,510000000000005</t>
  </si>
  <si>
    <t>-0,5100000000000051</t>
  </si>
  <si>
    <t>3,09</t>
  </si>
  <si>
    <t>18,340000000000000</t>
  </si>
  <si>
    <t>3,3399999999999999</t>
  </si>
  <si>
    <t>-23,090000000000003</t>
  </si>
  <si>
    <t>-14,0900000000000034</t>
  </si>
  <si>
    <t>6,46</t>
  </si>
  <si>
    <t>-23,799999999999997</t>
  </si>
  <si>
    <t>-11,7999999999999972</t>
  </si>
  <si>
    <t>8,03</t>
  </si>
  <si>
    <t>1,74</t>
  </si>
  <si>
    <t>16,430000000000000</t>
  </si>
  <si>
    <t>17,4299999999999997</t>
  </si>
  <si>
    <t>6,60</t>
  </si>
  <si>
    <t>25,649999999999999</t>
  </si>
  <si>
    <t>21,6499999999999986</t>
  </si>
  <si>
    <t>2,53</t>
  </si>
  <si>
    <t>-3,130000000000003</t>
  </si>
  <si>
    <t>-23,1300000000000026</t>
  </si>
  <si>
    <t>10,73</t>
  </si>
  <si>
    <t>-25,439999999999998</t>
  </si>
  <si>
    <t>-26,4399999999999977</t>
  </si>
  <si>
    <t>-0,750000000000000</t>
  </si>
  <si>
    <t>-0,7500000000000000</t>
  </si>
  <si>
    <t>12,26</t>
  </si>
  <si>
    <t>-38,609999999999999</t>
  </si>
  <si>
    <t>-23,6099999999999994</t>
  </si>
  <si>
    <t>42,100000000000001</t>
  </si>
  <si>
    <t>6,1000000000000014</t>
  </si>
  <si>
    <t>20,340000000000003</t>
  </si>
  <si>
    <t>31,3400000000000034</t>
  </si>
  <si>
    <t>19,00</t>
  </si>
  <si>
    <t>-0,489999999999998</t>
  </si>
  <si>
    <t>26,5100000000000016</t>
  </si>
  <si>
    <t>8,12</t>
  </si>
  <si>
    <t>11,890000000000001</t>
  </si>
  <si>
    <t>1,8900000000000006</t>
  </si>
  <si>
    <t>3,710000000000001</t>
  </si>
  <si>
    <t>-4,2899999999999991</t>
  </si>
  <si>
    <t>1,43</t>
  </si>
  <si>
    <t>3,95</t>
  </si>
  <si>
    <t>5,480000000000004</t>
  </si>
  <si>
    <t>30,4800000000000040</t>
  </si>
  <si>
    <t>10,53</t>
  </si>
  <si>
    <t>-10,239999999999995</t>
  </si>
  <si>
    <t>-15,2399999999999949</t>
  </si>
  <si>
    <t>2,97</t>
  </si>
  <si>
    <t>29,380000000000003</t>
  </si>
  <si>
    <t>8,3800000000000008</t>
  </si>
  <si>
    <t>49,55</t>
  </si>
  <si>
    <t>-9,060000000000002</t>
  </si>
  <si>
    <t>-1,0600000000000023</t>
  </si>
  <si>
    <t>12,56</t>
  </si>
  <si>
    <t>29,070000000000000</t>
  </si>
  <si>
    <t>-10,9299999999999997</t>
  </si>
  <si>
    <t>12,740000000000002</t>
  </si>
  <si>
    <t>16,7400000000000020</t>
  </si>
  <si>
    <t>1,95</t>
  </si>
  <si>
    <t>20,690000000000001</t>
  </si>
  <si>
    <t>-0,3099999999999987</t>
  </si>
  <si>
    <t>73,94</t>
  </si>
  <si>
    <t>1,280000000000001</t>
  </si>
  <si>
    <t>-13,7199999999999989</t>
  </si>
  <si>
    <t>11,54</t>
  </si>
  <si>
    <t>5,770000000000003</t>
  </si>
  <si>
    <t>10,7700000000000031</t>
  </si>
  <si>
    <t>19,03</t>
  </si>
  <si>
    <t>23,850000000000001</t>
  </si>
  <si>
    <t>8,8500000000000014</t>
  </si>
  <si>
    <t>3,90</t>
  </si>
  <si>
    <t>-3,680000000000000</t>
  </si>
  <si>
    <t>-10,6799999999999997</t>
  </si>
  <si>
    <t>13,30</t>
  </si>
  <si>
    <t>-10,930000000000000</t>
  </si>
  <si>
    <t>10,01</t>
  </si>
  <si>
    <t>38,539999999999999</t>
  </si>
  <si>
    <t>9,5399999999999991</t>
  </si>
  <si>
    <t>0,48</t>
  </si>
  <si>
    <t>34,969999999999999</t>
  </si>
  <si>
    <t>24,9699999999999989</t>
  </si>
  <si>
    <t>5,28</t>
  </si>
  <si>
    <t>31,259999999999998</t>
  </si>
  <si>
    <t>-8,7400000000000020</t>
  </si>
  <si>
    <t>0,14</t>
  </si>
  <si>
    <t>45,5000000000000000</t>
  </si>
  <si>
    <t>6,16</t>
  </si>
  <si>
    <t>-3,299999999999997</t>
  </si>
  <si>
    <t>-18,2999999999999972</t>
  </si>
  <si>
    <t>38,89</t>
  </si>
  <si>
    <t>-23,3100000000000023</t>
  </si>
  <si>
    <t>1,00</t>
  </si>
  <si>
    <t>27,910000000000000</t>
  </si>
  <si>
    <t>22,9100000000000001</t>
  </si>
  <si>
    <t>4,48</t>
  </si>
  <si>
    <t>-19,920000000000002</t>
  </si>
  <si>
    <t>-13,9200000000000017</t>
  </si>
  <si>
    <t>12,53</t>
  </si>
  <si>
    <t>2,469999999999999</t>
  </si>
  <si>
    <t>22,4699999999999989</t>
  </si>
  <si>
    <t>7,90</t>
  </si>
  <si>
    <t>1,570000000000000</t>
  </si>
  <si>
    <t>21,5700000000000003</t>
  </si>
  <si>
    <t>-11,899999999999999</t>
  </si>
  <si>
    <t>17,1000000000000014</t>
  </si>
  <si>
    <t>-7,759999999999998</t>
  </si>
  <si>
    <t>-23,7599999999999980</t>
  </si>
  <si>
    <t>34,340000000000003</t>
  </si>
  <si>
    <t>24,3399999999999999</t>
  </si>
  <si>
    <t>26,21</t>
  </si>
  <si>
    <t>17,449999999999999</t>
  </si>
  <si>
    <t>79,4500000000000028</t>
  </si>
  <si>
    <t>38,359999999999999</t>
  </si>
  <si>
    <t>19,3599999999999994</t>
  </si>
  <si>
    <t>28,37</t>
  </si>
  <si>
    <t>3,040000000000006</t>
  </si>
  <si>
    <t>-0,9599999999999937</t>
  </si>
  <si>
    <t>10,46</t>
  </si>
  <si>
    <t>-11,500000000000000</t>
  </si>
  <si>
    <t>-9,5000000000000000</t>
  </si>
  <si>
    <t>11,88</t>
  </si>
  <si>
    <t>28,670000000000002</t>
  </si>
  <si>
    <t>5,6700000000000017</t>
  </si>
  <si>
    <t>79,27</t>
  </si>
  <si>
    <t>14,609999999999999</t>
  </si>
  <si>
    <t>20,6099999999999994</t>
  </si>
  <si>
    <t>15,479999999999997</t>
  </si>
  <si>
    <t>9,4799999999999969</t>
  </si>
  <si>
    <t>-13,759999999999998</t>
  </si>
  <si>
    <t>-28,7599999999999980</t>
  </si>
  <si>
    <t>38,40</t>
  </si>
  <si>
    <t>-16,709999999999994</t>
  </si>
  <si>
    <t>-31,7099999999999937</t>
  </si>
  <si>
    <t>1,310000000000002</t>
  </si>
  <si>
    <t>11,3100000000000023</t>
  </si>
  <si>
    <t>8,87</t>
  </si>
  <si>
    <t>-10,859999999999999</t>
  </si>
  <si>
    <t>-20,8599999999999994</t>
  </si>
  <si>
    <t>9,920000000000002</t>
  </si>
  <si>
    <t>-31,0799999999999983</t>
  </si>
  <si>
    <t>-3,719999999999999</t>
  </si>
  <si>
    <t>54,2800000000000011</t>
  </si>
  <si>
    <t>8,62</t>
  </si>
  <si>
    <t>5,519999999999996</t>
  </si>
  <si>
    <t>-5,4800000000000040</t>
  </si>
  <si>
    <t>33,329999999999998</t>
  </si>
  <si>
    <t>4,3299999999999983</t>
  </si>
  <si>
    <t>140,94</t>
  </si>
  <si>
    <t>22,729999999999997</t>
  </si>
  <si>
    <t>6,7299999999999969</t>
  </si>
  <si>
    <t>12,89</t>
  </si>
  <si>
    <t>-1,129999999999995</t>
  </si>
  <si>
    <t>-29,1299999999999955</t>
  </si>
  <si>
    <t>14,649999999999999</t>
  </si>
  <si>
    <t>-6,3500000000000014</t>
  </si>
  <si>
    <t>6,299999999999997</t>
  </si>
  <si>
    <t>10,2999999999999972</t>
  </si>
  <si>
    <t>28,469999999999999</t>
  </si>
  <si>
    <t>19,4699999999999989</t>
  </si>
  <si>
    <t>17,899999999999999</t>
  </si>
  <si>
    <t>-17,1000000000000014</t>
  </si>
  <si>
    <t>-12,010000000000005</t>
  </si>
  <si>
    <t>12,9899999999999949</t>
  </si>
  <si>
    <t>-38,590000000000003</t>
  </si>
  <si>
    <t>-7,5900000000000034</t>
  </si>
  <si>
    <t>-19,850000000000001</t>
  </si>
  <si>
    <t>10,1499999999999986</t>
  </si>
  <si>
    <t>7,43</t>
  </si>
  <si>
    <t>-76,920000000000002</t>
  </si>
  <si>
    <t>0,0799999999999983</t>
  </si>
  <si>
    <t>11,760000000000002</t>
  </si>
  <si>
    <t>-8,2399999999999984</t>
  </si>
  <si>
    <t>-35,709999999999994</t>
  </si>
  <si>
    <t>33,2900000000000063</t>
  </si>
  <si>
    <t>13,43</t>
  </si>
  <si>
    <t>-17,289999999999999</t>
  </si>
  <si>
    <t>2,7100000000000009</t>
  </si>
  <si>
    <t>41,730000000000004</t>
  </si>
  <si>
    <t>21,7300000000000004</t>
  </si>
  <si>
    <t>7,22</t>
  </si>
  <si>
    <t>12,409999999999997</t>
  </si>
  <si>
    <t>31,4099999999999966</t>
  </si>
  <si>
    <t>10,149999999999999</t>
  </si>
  <si>
    <t>0,1499999999999986</t>
  </si>
  <si>
    <t>26,49</t>
  </si>
  <si>
    <t>-15,329999999999998</t>
  </si>
  <si>
    <t>-16,3299999999999983</t>
  </si>
  <si>
    <t>6,15</t>
  </si>
  <si>
    <t>-11,539999999999999</t>
  </si>
  <si>
    <t>-3,5399999999999991</t>
  </si>
  <si>
    <t>-6,109999999999999</t>
  </si>
  <si>
    <t>8,8900000000000006</t>
  </si>
  <si>
    <t>31,28</t>
  </si>
  <si>
    <t>-56,609999999999999</t>
  </si>
  <si>
    <t>-44,6099999999999994</t>
  </si>
  <si>
    <t>170,95</t>
  </si>
  <si>
    <t>25,859999999999999</t>
  </si>
  <si>
    <t>-11,1400000000000006</t>
  </si>
  <si>
    <t>47,07</t>
  </si>
  <si>
    <t>-7,969999999999999</t>
  </si>
  <si>
    <t>-17,9699999999999989</t>
  </si>
  <si>
    <t>-27,390000000000001</t>
  </si>
  <si>
    <t>6,6099999999999994</t>
  </si>
  <si>
    <t>7,06</t>
  </si>
  <si>
    <t>-3,090000000000003</t>
  </si>
  <si>
    <t>-17,0900000000000034</t>
  </si>
  <si>
    <t>37,590000000000003</t>
  </si>
  <si>
    <t>34,5900000000000034</t>
  </si>
  <si>
    <t>12,88</t>
  </si>
  <si>
    <t>15,50</t>
  </si>
  <si>
    <t>-6,680000000000000</t>
  </si>
  <si>
    <t>-6,6799999999999997</t>
  </si>
  <si>
    <t>36,990000000000002</t>
  </si>
  <si>
    <t>12,9900000000000002</t>
  </si>
  <si>
    <t>27,809999999999999</t>
  </si>
  <si>
    <t>-2,1900000000000013</t>
  </si>
  <si>
    <t>0,50</t>
  </si>
  <si>
    <t>18,379999999999995</t>
  </si>
  <si>
    <t>16,3799999999999955</t>
  </si>
  <si>
    <t>48,0300000000000011</t>
  </si>
  <si>
    <t>9,890000000000001</t>
  </si>
  <si>
    <t>-1,1099999999999994</t>
  </si>
  <si>
    <t>-8,390000000000001</t>
  </si>
  <si>
    <t>12,6099999999999994</t>
  </si>
  <si>
    <t>-36,000000000000000</t>
  </si>
  <si>
    <t>28,0000000000000000</t>
  </si>
  <si>
    <t>6,32</t>
  </si>
  <si>
    <t>-5,750000000000000</t>
  </si>
  <si>
    <t>2,2500000000000000</t>
  </si>
  <si>
    <t>12,009999999999998</t>
  </si>
  <si>
    <t>-5,9900000000000020</t>
  </si>
  <si>
    <t>37,039999999999999</t>
  </si>
  <si>
    <t>4,0399999999999991</t>
  </si>
  <si>
    <t>13,300000000000001</t>
  </si>
  <si>
    <t>1,3000000000000007</t>
  </si>
  <si>
    <t>20,12</t>
  </si>
  <si>
    <t>-8,900000000000006</t>
  </si>
  <si>
    <t>-17,9000000000000057</t>
  </si>
  <si>
    <t>1,070000000000000</t>
  </si>
  <si>
    <t>-13,9299999999999997</t>
  </si>
  <si>
    <t>104,45</t>
  </si>
  <si>
    <t>-37,390000000000001</t>
  </si>
  <si>
    <t>25,6099999999999994</t>
  </si>
  <si>
    <t>29,140000000000001</t>
  </si>
  <si>
    <t>25,1400000000000006</t>
  </si>
  <si>
    <t>-24,170000000000002</t>
  </si>
  <si>
    <t>-4,1700000000000017</t>
  </si>
  <si>
    <t>-18,460000000000001</t>
  </si>
  <si>
    <t>8,5399999999999991</t>
  </si>
  <si>
    <t>-20,030000000000001</t>
  </si>
  <si>
    <t>19,9699999999999989</t>
  </si>
  <si>
    <t>115,77</t>
  </si>
  <si>
    <t>-28,769999999999996</t>
  </si>
  <si>
    <t>11,2300000000000040</t>
  </si>
  <si>
    <t>7,45</t>
  </si>
  <si>
    <t>39,299999999999997</t>
  </si>
  <si>
    <t>36,2999999999999972</t>
  </si>
  <si>
    <t>0,619999999999997</t>
  </si>
  <si>
    <t>-6,3800000000000026</t>
  </si>
  <si>
    <t>-4,710000000000001</t>
  </si>
  <si>
    <t>-4,7100000000000009</t>
  </si>
  <si>
    <t>26,990000000000002</t>
  </si>
  <si>
    <t>17,9900000000000020</t>
  </si>
  <si>
    <t>8,66</t>
  </si>
  <si>
    <t>-47,989999999999995</t>
  </si>
  <si>
    <t>0,0100000000000051</t>
  </si>
  <si>
    <t>4,25</t>
  </si>
  <si>
    <t>32,5300000000000011</t>
  </si>
  <si>
    <t>5,540000000000006</t>
  </si>
  <si>
    <t>14,5400000000000063</t>
  </si>
  <si>
    <t>6,799999999999997</t>
  </si>
  <si>
    <t>-13,2000000000000028</t>
  </si>
  <si>
    <t>-7,680000000000000</t>
  </si>
  <si>
    <t>15,3200000000000003</t>
  </si>
  <si>
    <t>20,270000000000000</t>
  </si>
  <si>
    <t>23,2699999999999996</t>
  </si>
  <si>
    <t>11,59</t>
  </si>
  <si>
    <t>18,320000000000000</t>
  </si>
  <si>
    <t>24,3200000000000003</t>
  </si>
  <si>
    <t>-18,869999999999997</t>
  </si>
  <si>
    <t>-15,8699999999999974</t>
  </si>
  <si>
    <t>28,74</t>
  </si>
  <si>
    <t>-28,030000000000001</t>
  </si>
  <si>
    <t>-1,0300000000000011</t>
  </si>
  <si>
    <t>4,87</t>
  </si>
  <si>
    <t>-16,960000000000001</t>
  </si>
  <si>
    <t>-7,9600000000000009</t>
  </si>
  <si>
    <t>29,59</t>
  </si>
  <si>
    <t>-11,380000000000003</t>
  </si>
  <si>
    <t>5,6199999999999974</t>
  </si>
  <si>
    <t>39,079999999999998</t>
  </si>
  <si>
    <t>29,0799999999999983</t>
  </si>
  <si>
    <t>10,570000000000000</t>
  </si>
  <si>
    <t>-9,4299999999999997</t>
  </si>
  <si>
    <t>6,17</t>
  </si>
  <si>
    <t>-13,790000000000006</t>
  </si>
  <si>
    <t>5,2099999999999937</t>
  </si>
  <si>
    <t>18,439999999999998</t>
  </si>
  <si>
    <t>46,4399999999999977</t>
  </si>
  <si>
    <t>8,37</t>
  </si>
  <si>
    <t>-21,879999999999995</t>
  </si>
  <si>
    <t>4,1200000000000045</t>
  </si>
  <si>
    <t>8,68</t>
  </si>
  <si>
    <t>33,789999999999999</t>
  </si>
  <si>
    <t>30,7899999999999991</t>
  </si>
  <si>
    <t>4,59</t>
  </si>
  <si>
    <t>37,920000000000002</t>
  </si>
  <si>
    <t>9,9200000000000017</t>
  </si>
  <si>
    <t>6,61</t>
  </si>
  <si>
    <t>22,759999999999998</t>
  </si>
  <si>
    <t>23,7599999999999980</t>
  </si>
  <si>
    <t>-16,390000000000001</t>
  </si>
  <si>
    <t>22,6099999999999994</t>
  </si>
  <si>
    <t>30,70</t>
  </si>
  <si>
    <t>-12,700000000000003</t>
  </si>
  <si>
    <t>3,2999999999999972</t>
  </si>
  <si>
    <t>32,899999999999999</t>
  </si>
  <si>
    <t>5,9000000000000004</t>
  </si>
  <si>
    <t>10,43</t>
  </si>
  <si>
    <t>7,920000000000002</t>
  </si>
  <si>
    <t>18,9200000000000017</t>
  </si>
  <si>
    <t>-12,459999999999994</t>
  </si>
  <si>
    <t>-8,4599999999999937</t>
  </si>
  <si>
    <t>38,980000000000004</t>
  </si>
  <si>
    <t>28,9800000000000004</t>
  </si>
  <si>
    <t>19,750000000000000</t>
  </si>
  <si>
    <t>10,7500000000000000</t>
  </si>
  <si>
    <t>-7,409999999999997</t>
  </si>
  <si>
    <t>11,5900000000000034</t>
  </si>
  <si>
    <t>70,51</t>
  </si>
  <si>
    <t>-17,129999999999995</t>
  </si>
  <si>
    <t>10,8700000000000045</t>
  </si>
  <si>
    <t>8,41</t>
  </si>
  <si>
    <t>-4,820000000000000</t>
  </si>
  <si>
    <t>-11,8200000000000003</t>
  </si>
  <si>
    <t>-2,680000000000007</t>
  </si>
  <si>
    <t>11,3199999999999932</t>
  </si>
  <si>
    <t>SpecimenSiteGrouped_02</t>
  </si>
  <si>
    <t>Path_WSI Quality</t>
  </si>
  <si>
    <t>Path_Specimen Qualityl</t>
  </si>
  <si>
    <t>Path_Thick_Specimen</t>
  </si>
  <si>
    <t>Path_Cautery/Crush artifact_ average</t>
  </si>
  <si>
    <t>Path_Cautery/Crush artifact average_yes_no</t>
  </si>
  <si>
    <t>Path_Microtomy_ Artifacts</t>
  </si>
  <si>
    <t>Path_evaluable_cancer_area_marked_as_artifact_by_AI</t>
  </si>
  <si>
    <t>Independent Analytical Variables</t>
  </si>
  <si>
    <t>Independent Preanalytical Variables</t>
  </si>
  <si>
    <t>Independent Pre-/Analytical variables</t>
  </si>
  <si>
    <t>AI_total_cell_density_mm2</t>
  </si>
  <si>
    <t>Path_specimen_fragmentation</t>
  </si>
  <si>
    <t>Path_Acute infflammation</t>
  </si>
  <si>
    <t>AI_cancer_cell_density_in_tumor_mm2</t>
  </si>
  <si>
    <t>Dependent variables</t>
  </si>
  <si>
    <t>AI_density_of_cells_in_normal_tissue_mm2</t>
  </si>
  <si>
    <t>TC_Patho_minus_TCC_FMI</t>
  </si>
  <si>
    <t>Sample type relevance</t>
  </si>
  <si>
    <t>All</t>
  </si>
  <si>
    <t>Biopsy/Resection</t>
  </si>
  <si>
    <t>AI_lymphocyte_density_in_tumor_mm2</t>
  </si>
  <si>
    <t>AI_stroma_%_per_tumor</t>
  </si>
  <si>
    <t>Metastatic</t>
  </si>
  <si>
    <t>AI_artefact_fraction_measure</t>
  </si>
  <si>
    <t>Path_Cancer_content_in_tissue_specimens_per_slide_Resection/Biopsy_Ratio_fixed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</si>
  <si>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</si>
  <si>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</si>
  <si>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</si>
  <si>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</si>
  <si>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</si>
  <si>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</si>
  <si>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</si>
  <si>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</si>
  <si>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</si>
  <si>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</si>
  <si>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</si>
  <si>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</si>
  <si>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</si>
  <si>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</si>
  <si>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</si>
  <si>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</si>
  <si>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</si>
  <si>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</si>
  <si>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</si>
  <si>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</si>
  <si>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</si>
  <si>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</si>
  <si>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</si>
  <si>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</si>
  <si>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</si>
  <si>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</si>
  <si>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</si>
  <si>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</si>
  <si>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</si>
  <si>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</si>
  <si>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</si>
  <si>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</si>
  <si>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</si>
  <si>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</si>
  <si>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</si>
  <si>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</si>
  <si>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</si>
  <si>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</si>
  <si>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</si>
  <si>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</si>
  <si>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</si>
  <si>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</si>
  <si>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</si>
  <si>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</si>
  <si>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</si>
  <si>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</si>
  <si>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</si>
  <si>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</si>
  <si>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</si>
  <si>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</si>
  <si>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</si>
  <si>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</si>
  <si>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</si>
  <si>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</si>
  <si>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</si>
  <si>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</si>
  <si>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</si>
  <si>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</si>
  <si>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</si>
  <si>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</si>
  <si>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</si>
  <si>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</si>
  <si>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</si>
  <si>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</si>
  <si>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</si>
  <si>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</si>
  <si>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</si>
  <si>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</si>
  <si>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</si>
  <si>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</si>
  <si>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</si>
  <si>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</si>
  <si>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</si>
  <si>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</si>
  <si>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</si>
  <si>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</si>
  <si>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</si>
  <si>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</si>
  <si>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</si>
  <si>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</si>
  <si>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</si>
  <si>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</si>
  <si>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</si>
  <si>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</si>
  <si>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</si>
  <si>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</si>
  <si>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</si>
  <si>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</si>
  <si>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</si>
  <si>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</si>
  <si>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</si>
  <si>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</si>
  <si>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</si>
  <si>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</si>
  <si>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</si>
  <si>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</si>
  <si>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</si>
  <si>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</si>
  <si>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</si>
  <si>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</si>
  <si>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</si>
  <si>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</si>
  <si>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</si>
  <si>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</si>
  <si>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</si>
  <si>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</si>
  <si>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</si>
  <si>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</si>
  <si>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</si>
  <si>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</si>
  <si>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</si>
  <si>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</si>
  <si>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</si>
  <si>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</si>
  <si>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</si>
  <si>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</si>
  <si>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</si>
  <si>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</si>
  <si>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</si>
  <si>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</si>
  <si>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</si>
  <si>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</si>
  <si>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</si>
  <si>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</si>
  <si>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</si>
  <si>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</si>
  <si>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</si>
  <si>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</si>
  <si>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</si>
  <si>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</si>
  <si>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</si>
  <si>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</si>
  <si>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</si>
  <si>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</si>
  <si>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</si>
  <si>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</si>
  <si>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</si>
  <si>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</si>
  <si>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</si>
  <si>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</si>
  <si>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</si>
  <si>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</si>
  <si>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</si>
  <si>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</si>
  <si>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</si>
  <si>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</si>
  <si>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</si>
  <si>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</si>
  <si>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</si>
  <si>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</si>
  <si>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</si>
  <si>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</si>
  <si>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</si>
  <si>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</si>
  <si>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</si>
  <si>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</si>
  <si>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</si>
  <si>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</si>
  <si>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</si>
  <si>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</si>
  <si>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</si>
  <si>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</si>
  <si>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</si>
  <si>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</si>
  <si>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</si>
  <si>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</si>
  <si>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</si>
  <si>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</si>
  <si>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</si>
  <si>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</si>
  <si>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</si>
  <si>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</si>
  <si>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</si>
  <si>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</si>
  <si>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</si>
  <si>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</si>
  <si>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</si>
  <si>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</si>
  <si>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</si>
  <si>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</si>
  <si>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</si>
  <si>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</si>
  <si>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</si>
  <si>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</si>
  <si>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</si>
  <si>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</si>
  <si>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</si>
  <si>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</si>
  <si>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</si>
  <si>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</si>
  <si>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</si>
  <si>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</si>
  <si>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</si>
  <si>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</si>
  <si>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</si>
  <si>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</si>
  <si>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</si>
  <si>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</si>
  <si>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</si>
  <si>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</si>
  <si>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</si>
  <si>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</si>
  <si>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</si>
  <si>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</si>
  <si>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</si>
  <si>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</si>
  <si>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</si>
  <si>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</si>
  <si>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</si>
  <si>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</si>
  <si>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</si>
  <si>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</si>
  <si>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</si>
  <si>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</si>
  <si>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</si>
  <si>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</si>
  <si>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</si>
  <si>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</si>
  <si>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</si>
  <si>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</si>
  <si>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</si>
  <si>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</si>
  <si>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</si>
  <si>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</si>
  <si>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</si>
  <si>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</si>
  <si>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</si>
  <si>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</si>
  <si>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</si>
  <si>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</si>
  <si>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</si>
  <si>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</si>
  <si>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</si>
  <si>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</si>
  <si>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</si>
  <si>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</si>
  <si>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</si>
  <si>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</si>
  <si>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</si>
  <si>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</si>
  <si>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</si>
  <si>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</si>
  <si>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</si>
  <si>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</si>
  <si>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</si>
  <si>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</si>
  <si>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</si>
  <si>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</si>
  <si>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</si>
  <si>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</si>
  <si>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</si>
  <si>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</si>
  <si>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</si>
  <si>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</si>
  <si>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</si>
  <si>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</si>
  <si>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</si>
  <si>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</si>
  <si>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</si>
  <si>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</si>
  <si>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</si>
  <si>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</si>
  <si>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</si>
  <si>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</si>
  <si>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</si>
  <si>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</si>
  <si>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</si>
  <si>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</si>
  <si>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</si>
  <si>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</si>
  <si>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</si>
  <si>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</si>
  <si>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</si>
  <si>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</si>
  <si>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</si>
  <si>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</si>
  <si>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</si>
  <si>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</si>
  <si>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</si>
  <si>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</si>
  <si>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</si>
  <si>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</si>
  <si>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</si>
  <si>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</si>
  <si>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</si>
  <si>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</si>
  <si>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</si>
  <si>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</si>
  <si>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</si>
  <si>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</si>
  <si>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</si>
  <si>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</si>
  <si>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</si>
  <si>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</si>
  <si>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</si>
  <si>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</si>
  <si>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</si>
  <si>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</si>
  <si>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</si>
  <si>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i300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</si>
</sst>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_TCC Correlations all" xfId="1" xr:uid="{00000000-0005-0000-0000-000001000000}"/>
    <cellStyle name="Standard" xfId="0" builtinId="0"/>
  </cellStyles>
  <dxfs count="0"/>
  <tableStyles count="0" defaultTableStyle="TableStyleMedium2" defaultPivotStyle="PivotStyleLight16"/>
  <colors>
    <mruColors>
      <color rgb="FFF3DAFE"/>
      <color rgb="FFEFCFFD"/>
      <color rgb="FFEBC3FD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AB6819-2BFC-418F-9C02-BB5D2BEA4A1F}" name="Tabelle1" displayName="Tabelle1" ref="A1:CE301" totalsRowShown="0">
  <autoFilter ref="A1:CE301" xr:uid="{6DAB6819-2BFC-418F-9C02-BB5D2BEA4A1F}"/>
  <tableColumns count="83">
    <tableColumn id="1" xr3:uid="{FE0573DF-9AF5-4C85-8813-51D7F558B938}" name="Pseudonym"/>
    <tableColumn id="2" xr3:uid="{0A858A7B-3ABE-4A21-B5B7-EF05D1A406A3}" name="SpecimenSite"/>
    <tableColumn id="3" xr3:uid="{F99A44DD-F372-4631-B41C-D2404F4C1024}" name="SpecimenSiteGrouped_01"/>
    <tableColumn id="4" xr3:uid="{2D50D597-CF0C-4E4E-ADD9-94F11FBF5041}" name="SpecimenSiteGrouped_02"/>
    <tableColumn id="5" xr3:uid="{54E3A0E5-162D-4229-9E5A-3221736A8134}" name="Cancer"/>
    <tableColumn id="6" xr3:uid="{EFA083BC-C59C-4EF4-B667-B5A4BFA83031}" name="Sample type"/>
    <tableColumn id="7" xr3:uid="{0E0E712B-BE50-4FC9-B131-D3C0E9AA97E1}" name="TCC_Patho"/>
    <tableColumn id="8" xr3:uid="{F4CBB38A-11B6-4D36-A6BA-655DE6F0F3F3}" name="TCC_FMI"/>
    <tableColumn id="9" xr3:uid="{6E9C4227-EB1F-426A-9567-7330571963AC}" name="TCC_AI_rounded_0.5"/>
    <tableColumn id="10" xr3:uid="{877FC0F3-8FA6-4793-BFE1-D9017CAB8938}" name="TCC_Patho_minus_TCC_AI">
      <calculatedColumnFormula>G2-I2</calculatedColumnFormula>
    </tableColumn>
    <tableColumn id="11" xr3:uid="{CB5DC56A-F213-40C7-B6F4-E59D934E73A1}" name="TCC_FMI_minus_TCC_AI">
      <calculatedColumnFormula>H2-I2</calculatedColumnFormula>
    </tableColumn>
    <tableColumn id="12" xr3:uid="{E36F69B8-1CE1-4ABC-A75B-92FC3AC35331}" name="TC_Patho_minus_TCC_FMI"/>
    <tableColumn id="13" xr3:uid="{8FF1E027-6848-4F56-B101-2F5AE158BCD4}" name="TC_AI"/>
    <tableColumn id="14" xr3:uid="{55374536-1269-462F-8438-493316B9B8FA}" name="TC_Path_minus_TC_AI"/>
    <tableColumn id="15" xr3:uid="{3D9FD17E-973E-46D2-A0A0-986939A6B7CC}" name="TC_FMI_minus_TC_AI"/>
    <tableColumn id="16" xr3:uid="{8BD702FD-E8E7-4FF6-AAB4-691571EC7F0A}" name="Path_WSI Quality"/>
    <tableColumn id="17" xr3:uid="{B46546E3-A68E-4D13-9D7D-A873463A0E42}" name="AI_scanning_artifacts_area_%"/>
    <tableColumn id="18" xr3:uid="{3CF7D6FD-10E2-47FF-92AD-5F270B106E6B}" name="Path_Specimen Qualityl"/>
    <tableColumn id="19" xr3:uid="{FEE02C6C-9D06-4227-B3CE-B6FDCBC0AA6F}" name="Path_Microtomy_ Artifacts"/>
    <tableColumn id="20" xr3:uid="{D6F7FB8A-A0D9-40B0-A143-9DA00A065FBC}" name="Path_Thick_Specimen"/>
    <tableColumn id="21" xr3:uid="{0939DCF1-B128-4436-98EA-FED010D7CAFE}" name="Path_Cautery/Crush artifact_ average"/>
    <tableColumn id="22" xr3:uid="{5B2CAFAA-57E3-4BE0-8C82-ADC8EE127CB0}" name="Path_Cautery/Crush artifact average_yes_no"/>
    <tableColumn id="23" xr3:uid="{9C4C35BD-471F-43B6-9B45-4E92D121CC07}" name="Path_Cancer_content_in_tissue_specimens_per_slide_Resection/Biopsy_Ratio">
      <calculatedColumnFormula>BC2/BB2</calculatedColumnFormula>
    </tableColumn>
    <tableColumn id="24" xr3:uid="{FBD9FE8B-7240-4346-A309-8DEA3B4E14FE}" name="Path_Margin Ink_Resection"/>
    <tableColumn id="25" xr3:uid="{A5C86200-062E-4704-80B8-89B91AB9C0AD}" name="Path_specimen_fragmentation"/>
    <tableColumn id="26" xr3:uid="{6E9A5CEE-1F52-4A32-9989-F77F1307FA8B}" name="Path_evaluable_cancer_area_marked_as_artifact_by_AI"/>
    <tableColumn id="27" xr3:uid="{0672AB67-4474-4071-89AB-D043580EC004}" name="AI_total_cell_density_mm2">
      <calculatedColumnFormula>BI2/BD2</calculatedColumnFormula>
    </tableColumn>
    <tableColumn id="28" xr3:uid="{1D076188-6E7B-4D0F-BDC0-3B5383AECEC5}" name="AI_total_tumor_area_%">
      <calculatedColumnFormula>BE2*100/BD2</calculatedColumnFormula>
    </tableColumn>
    <tableColumn id="29" xr3:uid="{E62CE8A9-5018-472A-8FBF-8D525C0E5BC7}" name="AI_total_cancer_area_%">
      <calculatedColumnFormula>BF2*100/BD2</calculatedColumnFormula>
    </tableColumn>
    <tableColumn id="30" xr3:uid="{4C4D08AB-339A-49D3-9E09-2C677D286C19}" name="Path_Hemorrhage"/>
    <tableColumn id="31" xr3:uid="{47FF8651-1A4B-4877-A41D-C1D5FB1F22CD}" name="Path_Necrosis"/>
    <tableColumn id="32" xr3:uid="{3261BA91-D1F6-4CD3-8AB5-A23F0B8F7F2B}" name="Path_Tumor-Stroma Content"/>
    <tableColumn id="33" xr3:uid="{55DBB5F1-035B-4319-93F1-42B3BE26D6AF}" name="Path_Acute infflammation"/>
    <tableColumn id="34" xr3:uid="{0250B696-D5E6-4547-9F3C-8C4C4BEDD614}" name="Path_Immune aggregates"/>
    <tableColumn id="35" xr3:uid="{B2225752-29A2-4225-92C9-BD3A94C47C94}" name="Path_Tumor Infiltrating lymphocytes"/>
    <tableColumn id="36" xr3:uid="{B1B12BE9-6BB4-4DD8-B67A-CF3247347604}" name="Path_Tetriary Lymphoid Structures"/>
    <tableColumn id="37" xr3:uid="{CA645547-FEB5-4160-87CD-6F991E3BB9C9}" name="Path_High content of intratumoral immune infiltrates"/>
    <tableColumn id="38" xr3:uid="{A900CA01-D6D9-4545-B076-D7FF7FC16DE5}" name="Path_Highly cellular stroma"/>
    <tableColumn id="39" xr3:uid="{BE9A0165-052B-49F4-8928-5EB8188791B9}" name="AI_cancer_area_%_per_tumor">
      <calculatedColumnFormula>BF2*100/BE2</calculatedColumnFormula>
    </tableColumn>
    <tableColumn id="40" xr3:uid="{CFFBE1C8-2454-48A5-B9EF-B11F10407BEA}" name="AI_total_cell_density_in_tumor_mm2">
      <calculatedColumnFormula>SUM(BJ2:BQ2)/BE2</calculatedColumnFormula>
    </tableColumn>
    <tableColumn id="41" xr3:uid="{25129EAF-C6D3-47E8-8304-2EBEAB9DCFFB}" name="AI_cancer_cell_density_in_tumor_mm2">
      <calculatedColumnFormula>BJ2/BE2</calculatedColumnFormula>
    </tableColumn>
    <tableColumn id="42" xr3:uid="{2B8EAEDB-5C58-4C85-9C65-CC58BC674C1C}" name="AI_immune_cell_density_in_tumor_mm2">
      <calculatedColumnFormula>SUM(BL2:BO2)/BE2</calculatedColumnFormula>
    </tableColumn>
    <tableColumn id="43" xr3:uid="{411D01D9-D19C-4B82-8C25-D55B2CC1A8E6}" name="AI_fibroblast_density_in_tumor_mm2">
      <calculatedColumnFormula>BK2/BE2</calculatedColumnFormula>
    </tableColumn>
    <tableColumn id="44" xr3:uid="{1A0D8C73-22C8-4838-9DAD-10A63C56E161}" name="AI_non_immune_cell_density_in_tumor_mm2">
      <calculatedColumnFormula>SUM(BK2,BP2,BQ2)/BE2</calculatedColumnFormula>
    </tableColumn>
    <tableColumn id="45" xr3:uid="{18E0C6F7-95F8-4510-87C6-636134AC0019}" name="AI_total_necrosis_area_%">
      <calculatedColumnFormula>BH2*100/BD2</calculatedColumnFormula>
    </tableColumn>
    <tableColumn id="46" xr3:uid="{ED7AFBAE-857A-44E0-A9EB-DDD63DC9102C}" name="AI_total_stroma_area_%">
      <calculatedColumnFormula>BG2*100/BD2</calculatedColumnFormula>
    </tableColumn>
    <tableColumn id="47" xr3:uid="{25295ED3-AB11-44D6-B6A4-EFC90DC0FACC}" name="AI_%_lymphocytes_in_tumor">
      <calculatedColumnFormula>BN2*100/SUM(BJ2:BQ2)</calculatedColumnFormula>
    </tableColumn>
    <tableColumn id="48" xr3:uid="{8A4E2994-D0CC-42DC-8356-19F7FE7B1986}" name="AI_%_of_fibroblasts_in_tumor">
      <calculatedColumnFormula>BK2*100/SUM(BJ2:BQ2)</calculatedColumnFormula>
    </tableColumn>
    <tableColumn id="49" xr3:uid="{ADA21968-0B2B-4FEC-A713-93A908607BE8}" name="AI_%_of_immune_cells_in_tumor">
      <calculatedColumnFormula>SUM(BL2,BM2,BN2,BO2)*100/SUM(BJ2:BQ2)</calculatedColumnFormula>
    </tableColumn>
    <tableColumn id="50" xr3:uid="{69E8C59F-E473-4597-A172-23D0DFA41869}" name="AI_%_of_non_immune_cells_in_tumor">
      <calculatedColumnFormula>SUM(BK2,BP2,BQ2)*100/SUM(BJ2:BQ2)</calculatedColumnFormula>
    </tableColumn>
    <tableColumn id="51" xr3:uid="{893DBEF4-DCDE-4E16-80E2-E0397E8BF28B}" name="AI_density_of_cells_in_normal_tissue_mm2">
      <calculatedColumnFormula>BR2/(BD2-BE2)</calculatedColumnFormula>
    </tableColumn>
    <tableColumn id="52" xr3:uid="{71D28C7A-EE2F-47F3-AFFB-77509D22B60F}" name="AI_lymphocyte_density_in_tumor_mm2">
      <calculatedColumnFormula>BN2/BE2</calculatedColumnFormula>
    </tableColumn>
    <tableColumn id="53" xr3:uid="{61EDAC06-5A59-4CD1-9048-DA41584CFB5D}" name="AI_stroma_%_per_tumor">
      <calculatedColumnFormula>BG2*100/BE2</calculatedColumnFormula>
    </tableColumn>
    <tableColumn id="54" xr3:uid="{99B4BF58-9E64-46D6-ABD8-C3743988A4D9}" name="N Different tissue pieces per slide_Resection/Biopsy"/>
    <tableColumn id="55" xr3:uid="{2F797B9D-0805-4254-862B-272156EA7B55}" name="Cancer content N specimens_Resection/Biopsy"/>
    <tableColumn id="56" xr3:uid="{A7338ADD-9B59-4EDB-8E58-0BEEEA7E24E6}" name="Foundation.Model...TME.v1.0.1.alpha...Key.Result...Total.area.of.tissue...mm.2"/>
    <tableColumn id="57" xr3:uid="{395A4E6A-0119-4A40-8437-CF5C3A238B2B}" name="Foundation.Model...TME.v1.0.1.alpha...Key.Result...Total.area.of.tumor...mm.2"/>
    <tableColumn id="58" xr3:uid="{6DBDFC76-74E7-48EB-A067-A0CCFA3A30D3}" name="Foundation.Model...TME.v1.0.1.alpha...Supporting.Result...Total.area.of.cancer...mm.2"/>
    <tableColumn id="59" xr3:uid="{B81D6D84-F8DA-4343-BC49-DBCF095BE99F}" name="Foundation.Model...TME.v1.0.1.alpha...Supporting.Result...Total.area.of.stroma...mm.2"/>
    <tableColumn id="60" xr3:uid="{679358AD-A1D8-475A-BC7C-305F0C6460A7}" name="Foundation.Model...TME.v1.0.1.alpha...Supporting.Result...Total.area.of.necrosis...mm.2"/>
    <tableColumn id="61" xr3:uid="{03B32529-CAED-4713-A39E-24658707B417}" name="Foundation.Model...TME.v1.0.1.alpha...Supporting.Result...Total.number.of.cells.in.tissue"/>
    <tableColumn id="62" xr3:uid="{8B162E0E-E127-441F-9947-C5080899E40A}" name="Foundation.Model...TME.v1.0.1.alpha...Supporting.Result...Total.number.of.cancer.cells.in.tumor"/>
    <tableColumn id="63" xr3:uid="{FD02C197-891D-4C5B-9FB4-551EFE118941}" name="Foundation.Model...TME.v1.0.1.alpha...Supporting.Result...Total.number.of.fibroblasts.in.tumor"/>
    <tableColumn id="64" xr3:uid="{BD8CAC96-95A9-4E4F-B24B-AB1A7A9F6530}" name="Foundation.Model...TME.v1.0.1.alpha...Supporting.Result...Total.number.of.macrophages.in.tumor"/>
    <tableColumn id="65" xr3:uid="{5BA003C8-0201-40F4-B9FC-B0A6282B631E}" name="Foundation.Model...TME.v1.0.1.alpha...Supporting.Result...Total.number.of.plasma.cells.in.tumor"/>
    <tableColumn id="66" xr3:uid="{7A25CF14-1281-4710-A538-8BE561BD89F0}" name="Foundation.Model...TME.v1.0.1.alpha...Supporting.Result...Total.number.of.lymphocytes.in.tumor"/>
    <tableColumn id="67" xr3:uid="{C0581961-CBDB-46EB-88DC-3679C999E713}" name="Foundation.Model...TME.v1.0.1.alpha...Supporting.Result...Total.number.of.neutrophils.in.tumor"/>
    <tableColumn id="68" xr3:uid="{500701F4-8933-4312-97F9-2D8B44C332CF}" name="Foundation.Model...TME.v1.0.1.alpha...Supporting.Result...Total.number.of.endothelial.cells.in.tumor"/>
    <tableColumn id="69" xr3:uid="{F2569C94-46D3-4525-8885-A2B1C53BF911}" name="Foundation.Model...TME.v1.0.1.alpha...Supporting.Result...Total.number.of.other.cells.in.tumor"/>
    <tableColumn id="70" xr3:uid="{E3E53904-5B55-45C5-A382-0E8009316D81}" name="Foundation.Model...TME.v1.0.1.alpha...Supporting.Result...Total.number.of.cells.in.normal.tissue"/>
    <tableColumn id="71" xr3:uid="{FA3F2C28-2CB0-483E-B02F-B12404933B8E}" name="TumorDetect v1.2.0 - Key Result - TumorDetect"/>
    <tableColumn id="72" xr3:uid="{FE9AC5B9-DA27-4572-ADE5-87CA0C9B816D}" name="TumorDetect v1.2.0 - Supporting Result - Area of Necrosis - mm^2"/>
    <tableColumn id="73" xr3:uid="{72F51C15-5A86-469E-9D06-74EFECB7F17C}" name="Artifact Detect v3.0.0 - Key Result - % Tissue with artifacts Coverslipping - %"/>
    <tableColumn id="74" xr3:uid="{E1515BE0-670B-4659-BC93-E171B6BEB175}" name="Artifact Detect v3.0.0 - Key Result - % Tissue with artifacts Sectioning - %"/>
    <tableColumn id="75" xr3:uid="{62CA2345-A95F-4068-88D4-E21F4F53249F}" name="Artifact Detect v3.0.0 - Key Result - % Tissue with artifacts Grossing/Marker - %"/>
    <tableColumn id="76" xr3:uid="{140E0AAC-488B-4DB7-90A7-D7F4122B2295}" name="Artifact Detect v3.0.0 - Key Result - % Tissue with artifacts Other - %"/>
    <tableColumn id="77" xr3:uid="{992E051A-77AB-4F95-81C8-061C9B3B961A}" name="Artifact Detect v3.0.0 - Supporting Result - Area of Evaluable Tissue - mm^2"/>
    <tableColumn id="78" xr3:uid="{97E1AA6F-C965-4C10-967D-F5767060A07B}" name="Artifact Detect v3.0.0 - Supporting Result - Area of Total Tissue - mm^2"/>
    <tableColumn id="79" xr3:uid="{31513AAF-33AD-4407-B956-7A8EF3B1E2B8}" name="N Different tissue pieces per slide_Resection/Biopsy_numeric"/>
    <tableColumn id="80" xr3:uid="{D46D0FA8-A2F1-4D07-B300-F377D84EE9EF}" name="Cancer content N specimens_Resection/Biopsy_numeric"/>
    <tableColumn id="81" xr3:uid="{837CC9B6-50EA-4FD8-BF47-01EFC77A80FA}" name="PossiblyUltraLowTC"/>
    <tableColumn id="82" xr3:uid="{087F3CE0-6173-4B9F-ABC0-F04AEE39BFD0}" name="AI_artefact_fraction_measure">
      <calculatedColumnFormula>1-(BY2/BZ2)</calculatedColumnFormula>
    </tableColumn>
    <tableColumn id="83" xr3:uid="{A5E3E586-2930-40C7-88CE-2D7052DEE67D}" name="Path_Cancer_content_in_tissue_specimens_per_slide_Resection/Biopsy_Ratio_fixed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EE9A98-831A-4BE1-875C-5FC160915EAF}" name="Tabelle2" displayName="Tabelle2" ref="A1:B48" totalsRowShown="0">
  <autoFilter ref="A1:B48" xr:uid="{9AEE9A98-831A-4BE1-875C-5FC160915EAF}"/>
  <tableColumns count="2">
    <tableColumn id="1" xr3:uid="{59845FC9-8675-47FE-A5A7-5D7449D9E9EB}" name="Sample type relevance"/>
    <tableColumn id="2" xr3:uid="{C86C3088-FCDA-472E-8934-865FAA0376E2}" name="Independent Preanalytical Variabl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A528BC-E0CA-4265-8114-942220BC5DE7}" name="Tabelle3" displayName="Tabelle3" ref="B51:B57" totalsRowShown="0">
  <autoFilter ref="B51:B57" xr:uid="{93A528BC-E0CA-4265-8114-942220BC5DE7}"/>
  <tableColumns count="1">
    <tableColumn id="1" xr3:uid="{C725A418-DE9A-4CB5-A757-451E4EEB0683}" name="Dependent variabl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F677-5598-4B08-808D-3444F5C8655E}">
  <dimension ref="A1:CE301"/>
  <sheetViews>
    <sheetView tabSelected="1" workbookViewId="0">
      <selection activeCell="A2" sqref="A2:A301"/>
    </sheetView>
  </sheetViews>
  <sheetFormatPr baseColWidth="10" defaultRowHeight="14.6" x14ac:dyDescent="0.4"/>
  <cols>
    <col min="1" max="1" width="45.53515625" customWidth="1"/>
    <col min="2" max="2" width="15.3046875" customWidth="1"/>
    <col min="3" max="4" width="26" customWidth="1"/>
    <col min="5" max="5" width="12.3828125" customWidth="1"/>
    <col min="6" max="6" width="14.15234375" customWidth="1"/>
    <col min="7" max="7" width="12.53515625" customWidth="1"/>
    <col min="8" max="8" width="12.3828125" customWidth="1"/>
    <col min="9" max="9" width="21.3828125" customWidth="1"/>
    <col min="10" max="10" width="26.15234375" customWidth="1"/>
    <col min="11" max="11" width="24.3046875" customWidth="1"/>
    <col min="12" max="12" width="26.3828125" customWidth="1"/>
    <col min="14" max="14" width="22.69140625" customWidth="1"/>
    <col min="15" max="15" width="22" customWidth="1"/>
    <col min="16" max="16" width="18.3828125" customWidth="1"/>
    <col min="17" max="17" width="29.3046875" customWidth="1"/>
    <col min="18" max="18" width="24.3046875" customWidth="1"/>
    <col min="19" max="19" width="26.53515625" customWidth="1"/>
    <col min="20" max="20" width="22.3828125" customWidth="1"/>
    <col min="21" max="21" width="36" customWidth="1"/>
    <col min="22" max="22" width="42.3046875" customWidth="1"/>
    <col min="23" max="23" width="72.69140625" customWidth="1"/>
    <col min="24" max="24" width="27.15234375" customWidth="1"/>
    <col min="25" max="25" width="30.3828125" customWidth="1"/>
    <col min="26" max="26" width="52.3046875" customWidth="1"/>
    <col min="27" max="27" width="27.3046875" customWidth="1"/>
    <col min="28" max="28" width="24" customWidth="1"/>
    <col min="29" max="29" width="24.3046875" customWidth="1"/>
    <col min="30" max="30" width="19.15234375" customWidth="1"/>
    <col min="31" max="31" width="15.69140625" customWidth="1"/>
    <col min="32" max="32" width="28.3828125" customWidth="1"/>
    <col min="33" max="33" width="26.3828125" customWidth="1"/>
    <col min="34" max="34" width="25.53515625" customWidth="1"/>
    <col min="35" max="35" width="35.3828125" customWidth="1"/>
    <col min="36" max="36" width="33.53515625" customWidth="1"/>
    <col min="37" max="37" width="50.3046875" customWidth="1"/>
    <col min="38" max="38" width="27.3046875" customWidth="1"/>
    <col min="39" max="39" width="29.53515625" customWidth="1"/>
    <col min="40" max="40" width="36.3828125" customWidth="1"/>
    <col min="41" max="41" width="38" customWidth="1"/>
    <col min="42" max="42" width="39.69140625" customWidth="1"/>
    <col min="43" max="43" width="36.69140625" customWidth="1"/>
    <col min="44" max="44" width="44.15234375" customWidth="1"/>
    <col min="45" max="45" width="25.84375" customWidth="1"/>
    <col min="46" max="46" width="24.69140625" customWidth="1"/>
    <col min="47" max="47" width="29" customWidth="1"/>
    <col min="48" max="48" width="30" customWidth="1"/>
    <col min="49" max="49" width="33" customWidth="1"/>
    <col min="50" max="50" width="37.3828125" customWidth="1"/>
    <col min="51" max="51" width="42.15234375" customWidth="1"/>
    <col min="52" max="52" width="38.53515625" customWidth="1"/>
    <col min="53" max="53" width="25.15234375" customWidth="1"/>
    <col min="54" max="54" width="49.53515625" customWidth="1"/>
    <col min="55" max="55" width="44.53515625" customWidth="1"/>
    <col min="56" max="56" width="72.84375" customWidth="1"/>
    <col min="57" max="57" width="73" customWidth="1"/>
    <col min="58" max="70" width="73.3828125" customWidth="1"/>
    <col min="71" max="71" width="44.3046875" customWidth="1"/>
    <col min="72" max="72" width="60.53515625" customWidth="1"/>
    <col min="73" max="73" width="69.3046875" customWidth="1"/>
    <col min="74" max="74" width="66.3828125" customWidth="1"/>
    <col min="75" max="75" width="71.84375" customWidth="1"/>
    <col min="76" max="76" width="62.3046875" customWidth="1"/>
    <col min="77" max="77" width="68.84375" customWidth="1"/>
    <col min="78" max="78" width="64.69140625" customWidth="1"/>
    <col min="79" max="79" width="57.84375" customWidth="1"/>
    <col min="80" max="80" width="52.84375" customWidth="1"/>
    <col min="81" max="81" width="20.3828125" customWidth="1"/>
    <col min="82" max="82" width="29.3828125" customWidth="1"/>
    <col min="83" max="83" width="73.3828125" customWidth="1"/>
  </cols>
  <sheetData>
    <row r="1" spans="1:83" ht="156.65" customHeight="1" x14ac:dyDescent="0.4">
      <c r="A1" t="s">
        <v>74</v>
      </c>
      <c r="B1" t="s">
        <v>3</v>
      </c>
      <c r="C1" t="s">
        <v>92</v>
      </c>
      <c r="D1" t="s">
        <v>923</v>
      </c>
      <c r="E1" t="s">
        <v>83</v>
      </c>
      <c r="F1" t="s">
        <v>0</v>
      </c>
      <c r="G1" t="s">
        <v>77</v>
      </c>
      <c r="H1" t="s">
        <v>78</v>
      </c>
      <c r="I1" t="s">
        <v>87</v>
      </c>
      <c r="J1" t="s">
        <v>79</v>
      </c>
      <c r="K1" t="s">
        <v>80</v>
      </c>
      <c r="L1" t="s">
        <v>940</v>
      </c>
      <c r="M1" t="s">
        <v>4</v>
      </c>
      <c r="N1" t="s">
        <v>9</v>
      </c>
      <c r="O1" t="s">
        <v>10</v>
      </c>
      <c r="P1" t="s">
        <v>924</v>
      </c>
      <c r="Q1" t="s">
        <v>93</v>
      </c>
      <c r="R1" t="s">
        <v>925</v>
      </c>
      <c r="S1" t="s">
        <v>929</v>
      </c>
      <c r="T1" t="s">
        <v>926</v>
      </c>
      <c r="U1" t="s">
        <v>927</v>
      </c>
      <c r="V1" t="s">
        <v>928</v>
      </c>
      <c r="W1" t="s">
        <v>76</v>
      </c>
      <c r="X1" t="s">
        <v>75</v>
      </c>
      <c r="Y1" t="s">
        <v>935</v>
      </c>
      <c r="Z1" t="s">
        <v>930</v>
      </c>
      <c r="AA1" t="s">
        <v>934</v>
      </c>
      <c r="AB1" t="s">
        <v>85</v>
      </c>
      <c r="AC1" t="s">
        <v>86</v>
      </c>
      <c r="AD1" t="s">
        <v>95</v>
      </c>
      <c r="AE1" t="s">
        <v>101</v>
      </c>
      <c r="AF1" t="s">
        <v>100</v>
      </c>
      <c r="AG1" t="s">
        <v>936</v>
      </c>
      <c r="AH1" t="s">
        <v>103</v>
      </c>
      <c r="AI1" t="s">
        <v>96</v>
      </c>
      <c r="AJ1" t="s">
        <v>99</v>
      </c>
      <c r="AK1" t="s">
        <v>97</v>
      </c>
      <c r="AL1" t="s">
        <v>98</v>
      </c>
      <c r="AM1" t="s">
        <v>84</v>
      </c>
      <c r="AN1" t="s">
        <v>91</v>
      </c>
      <c r="AO1" t="s">
        <v>937</v>
      </c>
      <c r="AP1" t="s">
        <v>90</v>
      </c>
      <c r="AQ1" t="s">
        <v>104</v>
      </c>
      <c r="AR1" t="s">
        <v>106</v>
      </c>
      <c r="AS1" t="s">
        <v>89</v>
      </c>
      <c r="AT1" t="s">
        <v>88</v>
      </c>
      <c r="AU1" t="s">
        <v>72</v>
      </c>
      <c r="AV1" t="s">
        <v>71</v>
      </c>
      <c r="AW1" t="s">
        <v>102</v>
      </c>
      <c r="AX1" t="s">
        <v>105</v>
      </c>
      <c r="AY1" t="s">
        <v>939</v>
      </c>
      <c r="AZ1" t="s">
        <v>944</v>
      </c>
      <c r="BA1" t="s">
        <v>945</v>
      </c>
      <c r="BB1" t="s">
        <v>1</v>
      </c>
      <c r="BC1" t="s">
        <v>2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115</v>
      </c>
      <c r="BM1" t="s">
        <v>116</v>
      </c>
      <c r="BN1" t="s">
        <v>117</v>
      </c>
      <c r="BO1" t="s">
        <v>118</v>
      </c>
      <c r="BP1" t="s">
        <v>119</v>
      </c>
      <c r="BQ1" t="s">
        <v>120</v>
      </c>
      <c r="BR1" t="s">
        <v>94</v>
      </c>
      <c r="BS1" t="s">
        <v>5</v>
      </c>
      <c r="BT1" t="s">
        <v>121</v>
      </c>
      <c r="BU1" t="s">
        <v>122</v>
      </c>
      <c r="BV1" t="s">
        <v>123</v>
      </c>
      <c r="BW1" t="s">
        <v>124</v>
      </c>
      <c r="BX1" t="s">
        <v>125</v>
      </c>
      <c r="BY1" t="s">
        <v>126</v>
      </c>
      <c r="BZ1" t="s">
        <v>6</v>
      </c>
      <c r="CA1" t="s">
        <v>7</v>
      </c>
      <c r="CB1" t="s">
        <v>8</v>
      </c>
      <c r="CC1" t="s">
        <v>11</v>
      </c>
      <c r="CD1" t="s">
        <v>947</v>
      </c>
      <c r="CE1" t="s">
        <v>948</v>
      </c>
    </row>
    <row r="2" spans="1:83" x14ac:dyDescent="0.4">
      <c r="A2" t="s">
        <v>949</v>
      </c>
      <c r="B2" t="s">
        <v>19</v>
      </c>
      <c r="C2" t="s">
        <v>19</v>
      </c>
      <c r="D2" t="s">
        <v>19</v>
      </c>
      <c r="E2" t="s">
        <v>20</v>
      </c>
      <c r="F2" t="s">
        <v>12</v>
      </c>
      <c r="G2">
        <v>80</v>
      </c>
      <c r="H2">
        <v>87</v>
      </c>
      <c r="I2">
        <v>63</v>
      </c>
      <c r="J2">
        <f>G2-I2</f>
        <v>17</v>
      </c>
      <c r="K2">
        <f>H2-I2</f>
        <v>24</v>
      </c>
      <c r="L2">
        <v>-7</v>
      </c>
      <c r="M2">
        <v>63.15</v>
      </c>
      <c r="N2" t="s">
        <v>128</v>
      </c>
      <c r="O2" t="s">
        <v>129</v>
      </c>
      <c r="P2" t="s">
        <v>13</v>
      </c>
      <c r="Q2">
        <v>0.1</v>
      </c>
      <c r="R2" t="s">
        <v>13</v>
      </c>
      <c r="S2" t="s">
        <v>15</v>
      </c>
      <c r="T2" t="s">
        <v>14</v>
      </c>
      <c r="U2">
        <v>0</v>
      </c>
      <c r="V2" t="s">
        <v>14</v>
      </c>
      <c r="W2">
        <f>BC2/BB2</f>
        <v>1</v>
      </c>
      <c r="X2" t="s">
        <v>14</v>
      </c>
      <c r="Y2" t="s">
        <v>14</v>
      </c>
      <c r="Z2">
        <v>0</v>
      </c>
      <c r="AA2">
        <f t="shared" ref="AA2:AA65" si="0">BI2/BD2</f>
        <v>5900.8052220316376</v>
      </c>
      <c r="AB2">
        <f t="shared" ref="AB2:AB65" si="1">BE2*100/BD2</f>
        <v>78.092243186582806</v>
      </c>
      <c r="AC2">
        <f t="shared" ref="AC2:AC65" si="2">BF2*100/BD2</f>
        <v>55.403087478559179</v>
      </c>
      <c r="AD2" t="s">
        <v>15</v>
      </c>
      <c r="AE2" t="s">
        <v>15</v>
      </c>
      <c r="AF2" t="s">
        <v>18</v>
      </c>
      <c r="AG2" t="s">
        <v>14</v>
      </c>
      <c r="AH2" t="s">
        <v>17</v>
      </c>
      <c r="AI2" t="s">
        <v>18</v>
      </c>
      <c r="AJ2" t="s">
        <v>14</v>
      </c>
      <c r="AK2" t="s">
        <v>14</v>
      </c>
      <c r="AL2" t="s">
        <v>14</v>
      </c>
      <c r="AM2">
        <f t="shared" ref="AM2:AM65" si="3">BF2*100/BE2</f>
        <v>70.945698596705299</v>
      </c>
      <c r="AN2">
        <f>SUM(BJ2:BQ2)/BE2</f>
        <v>6170.06101281269</v>
      </c>
      <c r="AO2">
        <f>BJ2/BE2</f>
        <v>4772.0012202562539</v>
      </c>
      <c r="AP2">
        <f>SUM(BL2:BO2)/BE2</f>
        <v>566.04026845637577</v>
      </c>
      <c r="AQ2">
        <f>BK2/BE2</f>
        <v>333.19707138499086</v>
      </c>
      <c r="AR2">
        <f>SUM(BK2,BP2,BQ2)/BE2</f>
        <v>832.01952410006095</v>
      </c>
      <c r="AS2">
        <f>BH2*100/BD2</f>
        <v>0.60510768057937869</v>
      </c>
      <c r="AT2">
        <f>BG2*100/BD2</f>
        <v>22.689155708023634</v>
      </c>
      <c r="AU2">
        <f>BN2*100/SUM(BJ2:BQ2)</f>
        <v>3.5840964803767132</v>
      </c>
      <c r="AV2">
        <f>BK2*100/SUM(BJ2:BQ2)</f>
        <v>5.4002232829315133</v>
      </c>
      <c r="AW2">
        <f>SUM(BL2,BM2,BN2,BO2)*100/SUM(BJ2:BQ2)</f>
        <v>9.1739817042480123</v>
      </c>
      <c r="AX2">
        <f>SUM(BK2,BP2,BQ2)*100/SUM(BJ2:BQ2)</f>
        <v>13.484786007339265</v>
      </c>
      <c r="AY2">
        <f>BR2/(BD2-BE2)</f>
        <v>4931.7746846454993</v>
      </c>
      <c r="AZ2">
        <f>BN2/BE2</f>
        <v>221.14093959731542</v>
      </c>
      <c r="BA2">
        <f>BG2*100/BE2</f>
        <v>29.054301403294691</v>
      </c>
      <c r="BB2" t="s">
        <v>16</v>
      </c>
      <c r="BC2" t="s">
        <v>16</v>
      </c>
      <c r="BD2">
        <v>209.88</v>
      </c>
      <c r="BE2">
        <v>163.9</v>
      </c>
      <c r="BF2">
        <v>116.28</v>
      </c>
      <c r="BG2">
        <v>47.62</v>
      </c>
      <c r="BH2">
        <v>1.27</v>
      </c>
      <c r="BI2">
        <v>1238461</v>
      </c>
      <c r="BJ2">
        <v>782131</v>
      </c>
      <c r="BK2">
        <v>54611</v>
      </c>
      <c r="BL2">
        <v>47520</v>
      </c>
      <c r="BM2">
        <v>1781</v>
      </c>
      <c r="BN2">
        <v>36245</v>
      </c>
      <c r="BO2">
        <v>7228</v>
      </c>
      <c r="BP2">
        <v>7643</v>
      </c>
      <c r="BQ2">
        <v>74114</v>
      </c>
      <c r="BR2">
        <v>226763</v>
      </c>
      <c r="BS2" t="s">
        <v>21</v>
      </c>
      <c r="BT2" t="s">
        <v>127</v>
      </c>
      <c r="BU2">
        <v>0</v>
      </c>
      <c r="BV2">
        <v>0</v>
      </c>
      <c r="BW2">
        <v>0</v>
      </c>
      <c r="BX2">
        <v>0</v>
      </c>
      <c r="BY2">
        <v>211.2</v>
      </c>
      <c r="BZ2">
        <v>211.4</v>
      </c>
      <c r="CA2">
        <v>1</v>
      </c>
      <c r="CB2">
        <v>1</v>
      </c>
      <c r="CC2">
        <v>0</v>
      </c>
      <c r="CD2">
        <f>1-(BY2/BZ2)</f>
        <v>9.4607379375599709E-4</v>
      </c>
      <c r="CE2">
        <v>1</v>
      </c>
    </row>
    <row r="3" spans="1:83" x14ac:dyDescent="0.4">
      <c r="A3" t="s">
        <v>950</v>
      </c>
      <c r="B3" t="s">
        <v>25</v>
      </c>
      <c r="C3" t="s">
        <v>82</v>
      </c>
      <c r="D3" t="s">
        <v>82</v>
      </c>
      <c r="E3" t="s">
        <v>20</v>
      </c>
      <c r="F3" t="s">
        <v>22</v>
      </c>
      <c r="G3">
        <v>20</v>
      </c>
      <c r="H3">
        <v>29</v>
      </c>
      <c r="I3">
        <v>24</v>
      </c>
      <c r="J3">
        <f t="shared" ref="J3:J66" si="4">G3-I3</f>
        <v>-4</v>
      </c>
      <c r="K3">
        <f t="shared" ref="K3:K66" si="5">H3-I3</f>
        <v>5</v>
      </c>
      <c r="L3">
        <v>-9</v>
      </c>
      <c r="M3">
        <v>23.9</v>
      </c>
      <c r="N3" t="s">
        <v>132</v>
      </c>
      <c r="O3" t="s">
        <v>133</v>
      </c>
      <c r="P3" t="s">
        <v>13</v>
      </c>
      <c r="Q3">
        <v>0.1</v>
      </c>
      <c r="R3" t="s">
        <v>13</v>
      </c>
      <c r="S3" t="s">
        <v>15</v>
      </c>
      <c r="T3" t="s">
        <v>14</v>
      </c>
      <c r="U3">
        <v>7.5</v>
      </c>
      <c r="V3" t="s">
        <v>14</v>
      </c>
      <c r="W3">
        <f t="shared" ref="W3:W66" si="6">BC3/BB3</f>
        <v>1</v>
      </c>
      <c r="X3" t="s">
        <v>14</v>
      </c>
      <c r="Y3" t="s">
        <v>17</v>
      </c>
      <c r="Z3">
        <v>0</v>
      </c>
      <c r="AA3">
        <f t="shared" si="0"/>
        <v>3094.8768472906404</v>
      </c>
      <c r="AB3">
        <f t="shared" si="1"/>
        <v>39.999999999999993</v>
      </c>
      <c r="AC3">
        <f t="shared" si="2"/>
        <v>10.541871921182265</v>
      </c>
      <c r="AD3" t="s">
        <v>15</v>
      </c>
      <c r="AE3" t="s">
        <v>15</v>
      </c>
      <c r="AF3" t="s">
        <v>24</v>
      </c>
      <c r="AG3" t="s">
        <v>14</v>
      </c>
      <c r="AH3" t="s">
        <v>14</v>
      </c>
      <c r="AI3" t="s">
        <v>14</v>
      </c>
      <c r="AJ3" t="s">
        <v>14</v>
      </c>
      <c r="AK3" t="s">
        <v>14</v>
      </c>
      <c r="AL3" t="s">
        <v>14</v>
      </c>
      <c r="AM3">
        <f t="shared" si="3"/>
        <v>26.354679802955669</v>
      </c>
      <c r="AN3">
        <f t="shared" ref="AN3:AN66" si="7">SUM(BJ3:BQ3)/BE3</f>
        <v>4237.9310344827591</v>
      </c>
      <c r="AO3">
        <f t="shared" ref="AO3:AO66" si="8">BJ3/BE3</f>
        <v>1849.5073891625618</v>
      </c>
      <c r="AP3">
        <f t="shared" ref="AP3:AP66" si="9">SUM(BL3:BO3)/BE3</f>
        <v>310.59113300492612</v>
      </c>
      <c r="AQ3">
        <f t="shared" ref="AQ3:AQ66" si="10">BK3/BE3</f>
        <v>1958.1280788177341</v>
      </c>
      <c r="AR3">
        <f t="shared" ref="AR3:AR66" si="11">SUM(BK3,BP3,BQ3)/BE3</f>
        <v>2077.8325123152713</v>
      </c>
      <c r="AS3">
        <f t="shared" ref="AS3:AS66" si="12">BH3*100/BD3</f>
        <v>1.8719211822660098</v>
      </c>
      <c r="AT3">
        <f t="shared" ref="AT3:AT66" si="13">BG3*100/BD3</f>
        <v>29.458128078817733</v>
      </c>
      <c r="AU3">
        <f t="shared" ref="AU3:AU66" si="14">BN3*100/SUM(BJ3:BQ3)</f>
        <v>4.6786004882017904</v>
      </c>
      <c r="AV3">
        <f t="shared" ref="AV3:AV66" si="15">BK3*100/SUM(BJ3:BQ3)</f>
        <v>46.204812274787862</v>
      </c>
      <c r="AW3">
        <f t="shared" ref="AW3:AW66" si="16">SUM(BL3,BM3,BN3,BO3)*100/SUM(BJ3:BQ3)</f>
        <v>7.3288387771707546</v>
      </c>
      <c r="AX3">
        <f t="shared" ref="AX3:AX66" si="17">SUM(BK3,BP3,BQ3)*100/SUM(BJ3:BQ3)</f>
        <v>49.029408345925837</v>
      </c>
      <c r="AY3">
        <f t="shared" ref="AY3:AY66" si="18">BR3/(BD3-BE3)</f>
        <v>2331.1986863710999</v>
      </c>
      <c r="AZ3">
        <f t="shared" ref="AZ3:AZ66" si="19">BN3/BE3</f>
        <v>198.27586206896552</v>
      </c>
      <c r="BA3">
        <f t="shared" ref="BA3:BA66" si="20">BG3*100/BE3</f>
        <v>73.645320197044342</v>
      </c>
      <c r="BB3" t="s">
        <v>23</v>
      </c>
      <c r="BC3" t="s">
        <v>23</v>
      </c>
      <c r="BD3">
        <v>10.15</v>
      </c>
      <c r="BE3">
        <v>4.0599999999999996</v>
      </c>
      <c r="BF3">
        <v>1.07</v>
      </c>
      <c r="BG3">
        <v>2.99</v>
      </c>
      <c r="BH3">
        <v>0.19</v>
      </c>
      <c r="BI3">
        <v>31413</v>
      </c>
      <c r="BJ3">
        <v>7509</v>
      </c>
      <c r="BK3">
        <v>7950</v>
      </c>
      <c r="BL3">
        <v>124</v>
      </c>
      <c r="BM3">
        <v>58</v>
      </c>
      <c r="BN3">
        <v>805</v>
      </c>
      <c r="BO3">
        <v>274</v>
      </c>
      <c r="BP3">
        <v>376</v>
      </c>
      <c r="BQ3">
        <v>110</v>
      </c>
      <c r="BR3">
        <v>14197</v>
      </c>
      <c r="BS3" t="s">
        <v>21</v>
      </c>
      <c r="BT3" t="s">
        <v>131</v>
      </c>
      <c r="BU3">
        <v>0</v>
      </c>
      <c r="BV3">
        <v>0</v>
      </c>
      <c r="BW3">
        <v>10.7</v>
      </c>
      <c r="BX3">
        <v>0.8</v>
      </c>
      <c r="BY3">
        <v>11.4</v>
      </c>
      <c r="BZ3">
        <v>12.9</v>
      </c>
      <c r="CA3">
        <v>10</v>
      </c>
      <c r="CB3">
        <v>10</v>
      </c>
      <c r="CC3">
        <v>0</v>
      </c>
      <c r="CD3">
        <f t="shared" ref="CD3:CD66" si="21">1-(BY3/BZ3)</f>
        <v>0.11627906976744184</v>
      </c>
      <c r="CE3">
        <v>1</v>
      </c>
    </row>
    <row r="4" spans="1:83" x14ac:dyDescent="0.4">
      <c r="A4" t="s">
        <v>951</v>
      </c>
      <c r="B4" t="s">
        <v>19</v>
      </c>
      <c r="C4" t="s">
        <v>19</v>
      </c>
      <c r="D4" t="s">
        <v>19</v>
      </c>
      <c r="E4" t="s">
        <v>20</v>
      </c>
      <c r="F4" t="s">
        <v>22</v>
      </c>
      <c r="G4">
        <v>80</v>
      </c>
      <c r="H4">
        <v>58</v>
      </c>
      <c r="I4">
        <v>74.5</v>
      </c>
      <c r="J4">
        <f t="shared" si="4"/>
        <v>5.5</v>
      </c>
      <c r="K4">
        <f t="shared" si="5"/>
        <v>-16.5</v>
      </c>
      <c r="L4">
        <v>22</v>
      </c>
      <c r="M4">
        <v>74.5</v>
      </c>
      <c r="N4" t="s">
        <v>137</v>
      </c>
      <c r="O4" t="s">
        <v>138</v>
      </c>
      <c r="P4" t="s">
        <v>13</v>
      </c>
      <c r="Q4">
        <v>0</v>
      </c>
      <c r="R4" t="s">
        <v>26</v>
      </c>
      <c r="S4" t="s">
        <v>15</v>
      </c>
      <c r="T4" t="s">
        <v>14</v>
      </c>
      <c r="U4">
        <v>0</v>
      </c>
      <c r="V4" t="s">
        <v>14</v>
      </c>
      <c r="W4">
        <f t="shared" si="6"/>
        <v>0.25</v>
      </c>
      <c r="X4" t="s">
        <v>14</v>
      </c>
      <c r="Y4" t="s">
        <v>14</v>
      </c>
      <c r="Z4">
        <v>0</v>
      </c>
      <c r="AA4">
        <f t="shared" si="0"/>
        <v>4485.7142857142862</v>
      </c>
      <c r="AB4">
        <f t="shared" si="1"/>
        <v>68.067226890756302</v>
      </c>
      <c r="AC4">
        <f t="shared" si="2"/>
        <v>52.100840336134453</v>
      </c>
      <c r="AD4" t="s">
        <v>27</v>
      </c>
      <c r="AE4" t="s">
        <v>15</v>
      </c>
      <c r="AF4" t="s">
        <v>18</v>
      </c>
      <c r="AG4" t="s">
        <v>14</v>
      </c>
      <c r="AH4" t="s">
        <v>14</v>
      </c>
      <c r="AI4" t="s">
        <v>14</v>
      </c>
      <c r="AJ4" t="s">
        <v>14</v>
      </c>
      <c r="AK4" t="s">
        <v>14</v>
      </c>
      <c r="AL4" t="s">
        <v>14</v>
      </c>
      <c r="AM4">
        <f t="shared" si="3"/>
        <v>76.543209876543202</v>
      </c>
      <c r="AN4">
        <f t="shared" si="7"/>
        <v>5664.1975308641968</v>
      </c>
      <c r="AO4">
        <f t="shared" si="8"/>
        <v>4909.8765432098762</v>
      </c>
      <c r="AP4">
        <f t="shared" si="9"/>
        <v>271.60493827160491</v>
      </c>
      <c r="AQ4">
        <f t="shared" si="10"/>
        <v>340.7407407407407</v>
      </c>
      <c r="AR4">
        <f t="shared" si="11"/>
        <v>482.71604938271599</v>
      </c>
      <c r="AS4">
        <f t="shared" si="12"/>
        <v>1.680672268907563</v>
      </c>
      <c r="AT4">
        <f t="shared" si="13"/>
        <v>15.966386554621849</v>
      </c>
      <c r="AU4">
        <f t="shared" si="14"/>
        <v>3.0296425457715781</v>
      </c>
      <c r="AV4">
        <f t="shared" si="15"/>
        <v>6.0156931124673063</v>
      </c>
      <c r="AW4">
        <f t="shared" si="16"/>
        <v>4.7951176983435051</v>
      </c>
      <c r="AX4">
        <f t="shared" si="17"/>
        <v>8.5222319093286831</v>
      </c>
      <c r="AY4">
        <f t="shared" si="18"/>
        <v>1973.6842105263163</v>
      </c>
      <c r="AZ4">
        <f t="shared" si="19"/>
        <v>171.60493827160494</v>
      </c>
      <c r="BA4">
        <f t="shared" si="20"/>
        <v>23.456790123456788</v>
      </c>
      <c r="BB4" t="s">
        <v>28</v>
      </c>
      <c r="BC4" t="s">
        <v>16</v>
      </c>
      <c r="BD4">
        <v>1.19</v>
      </c>
      <c r="BE4">
        <v>0.81</v>
      </c>
      <c r="BF4">
        <v>0.62</v>
      </c>
      <c r="BG4">
        <v>0.19</v>
      </c>
      <c r="BH4">
        <v>0.02</v>
      </c>
      <c r="BI4">
        <v>5338</v>
      </c>
      <c r="BJ4">
        <v>3977</v>
      </c>
      <c r="BK4">
        <v>276</v>
      </c>
      <c r="BL4">
        <v>27</v>
      </c>
      <c r="BM4">
        <v>6</v>
      </c>
      <c r="BN4">
        <v>139</v>
      </c>
      <c r="BO4">
        <v>48</v>
      </c>
      <c r="BP4">
        <v>87</v>
      </c>
      <c r="BQ4">
        <v>28</v>
      </c>
      <c r="BR4">
        <v>750</v>
      </c>
      <c r="BS4" t="s">
        <v>21</v>
      </c>
      <c r="BT4" t="s">
        <v>136</v>
      </c>
      <c r="BU4">
        <v>0</v>
      </c>
      <c r="BV4">
        <v>0.1</v>
      </c>
      <c r="BW4">
        <v>0</v>
      </c>
      <c r="BX4">
        <v>0</v>
      </c>
      <c r="BY4">
        <v>1.6</v>
      </c>
      <c r="BZ4">
        <v>1.6</v>
      </c>
      <c r="CA4">
        <v>4</v>
      </c>
      <c r="CB4">
        <v>1</v>
      </c>
      <c r="CC4">
        <v>0</v>
      </c>
      <c r="CD4">
        <f t="shared" si="21"/>
        <v>0</v>
      </c>
      <c r="CE4">
        <v>0.25</v>
      </c>
    </row>
    <row r="5" spans="1:83" x14ac:dyDescent="0.4">
      <c r="A5" t="s">
        <v>952</v>
      </c>
      <c r="B5" t="s">
        <v>20</v>
      </c>
      <c r="C5" t="s">
        <v>73</v>
      </c>
      <c r="D5" t="s">
        <v>82</v>
      </c>
      <c r="E5" t="s">
        <v>20</v>
      </c>
      <c r="F5" t="s">
        <v>22</v>
      </c>
      <c r="G5">
        <v>70</v>
      </c>
      <c r="H5">
        <v>66</v>
      </c>
      <c r="I5">
        <v>56</v>
      </c>
      <c r="J5">
        <f t="shared" si="4"/>
        <v>14</v>
      </c>
      <c r="K5">
        <f t="shared" si="5"/>
        <v>10</v>
      </c>
      <c r="L5">
        <v>4</v>
      </c>
      <c r="M5">
        <v>56.22</v>
      </c>
      <c r="N5" t="s">
        <v>141</v>
      </c>
      <c r="O5" t="s">
        <v>142</v>
      </c>
      <c r="P5" t="s">
        <v>13</v>
      </c>
      <c r="Q5">
        <v>0.7</v>
      </c>
      <c r="R5" t="s">
        <v>13</v>
      </c>
      <c r="S5" t="s">
        <v>15</v>
      </c>
      <c r="T5" t="s">
        <v>14</v>
      </c>
      <c r="U5">
        <v>2.5</v>
      </c>
      <c r="V5" t="s">
        <v>14</v>
      </c>
      <c r="W5">
        <f t="shared" si="6"/>
        <v>0.6</v>
      </c>
      <c r="X5" t="s">
        <v>14</v>
      </c>
      <c r="Y5" t="s">
        <v>14</v>
      </c>
      <c r="Z5">
        <v>0</v>
      </c>
      <c r="AA5">
        <f t="shared" si="0"/>
        <v>2749.2795389048993</v>
      </c>
      <c r="AB5">
        <f t="shared" si="1"/>
        <v>57.829010566762726</v>
      </c>
      <c r="AC5">
        <f t="shared" si="2"/>
        <v>17.195004803073967</v>
      </c>
      <c r="AD5" t="s">
        <v>15</v>
      </c>
      <c r="AE5" t="s">
        <v>27</v>
      </c>
      <c r="AF5" t="s">
        <v>18</v>
      </c>
      <c r="AG5" t="s">
        <v>14</v>
      </c>
      <c r="AH5" t="s">
        <v>14</v>
      </c>
      <c r="AI5" t="s">
        <v>14</v>
      </c>
      <c r="AJ5" t="s">
        <v>14</v>
      </c>
      <c r="AK5" t="s">
        <v>14</v>
      </c>
      <c r="AL5" t="s">
        <v>14</v>
      </c>
      <c r="AM5">
        <f t="shared" si="3"/>
        <v>29.734219269102994</v>
      </c>
      <c r="AN5">
        <f t="shared" si="7"/>
        <v>4289.036544850499</v>
      </c>
      <c r="AO5">
        <f t="shared" si="8"/>
        <v>2672.5913621262462</v>
      </c>
      <c r="AP5">
        <f t="shared" si="9"/>
        <v>485.54817275747513</v>
      </c>
      <c r="AQ5">
        <f t="shared" si="10"/>
        <v>983.05647840531572</v>
      </c>
      <c r="AR5">
        <f t="shared" si="11"/>
        <v>1130.8970099667774</v>
      </c>
      <c r="AS5">
        <f t="shared" si="12"/>
        <v>8.549471661863592</v>
      </c>
      <c r="AT5">
        <f t="shared" si="13"/>
        <v>40.634005763688762</v>
      </c>
      <c r="AU5">
        <f t="shared" si="14"/>
        <v>7.4206041828040279</v>
      </c>
      <c r="AV5">
        <f t="shared" si="15"/>
        <v>22.920216886134778</v>
      </c>
      <c r="AW5">
        <f t="shared" si="16"/>
        <v>11.320681642137878</v>
      </c>
      <c r="AX5">
        <f t="shared" si="17"/>
        <v>26.367157242447714</v>
      </c>
      <c r="AY5">
        <f t="shared" si="18"/>
        <v>631.66287015945318</v>
      </c>
      <c r="AZ5">
        <f t="shared" si="19"/>
        <v>318.27242524916943</v>
      </c>
      <c r="BA5">
        <f t="shared" si="20"/>
        <v>70.265780730897021</v>
      </c>
      <c r="BB5" t="s">
        <v>29</v>
      </c>
      <c r="BC5" t="s">
        <v>30</v>
      </c>
      <c r="BD5">
        <v>10.41</v>
      </c>
      <c r="BE5">
        <v>6.02</v>
      </c>
      <c r="BF5">
        <v>1.79</v>
      </c>
      <c r="BG5">
        <v>4.2300000000000004</v>
      </c>
      <c r="BH5">
        <v>0.89</v>
      </c>
      <c r="BI5">
        <v>28620</v>
      </c>
      <c r="BJ5">
        <v>16089</v>
      </c>
      <c r="BK5">
        <v>5918</v>
      </c>
      <c r="BL5">
        <v>386</v>
      </c>
      <c r="BM5">
        <v>277</v>
      </c>
      <c r="BN5">
        <v>1916</v>
      </c>
      <c r="BO5">
        <v>344</v>
      </c>
      <c r="BP5">
        <v>592</v>
      </c>
      <c r="BQ5">
        <v>298</v>
      </c>
      <c r="BR5">
        <v>2773</v>
      </c>
      <c r="BS5" t="s">
        <v>21</v>
      </c>
      <c r="BT5" t="s">
        <v>140</v>
      </c>
      <c r="BU5">
        <v>0</v>
      </c>
      <c r="BV5">
        <v>0.1</v>
      </c>
      <c r="BW5">
        <v>0</v>
      </c>
      <c r="BX5">
        <v>0.1</v>
      </c>
      <c r="BY5">
        <v>13.3</v>
      </c>
      <c r="BZ5">
        <v>13.4</v>
      </c>
      <c r="CA5">
        <v>5</v>
      </c>
      <c r="CB5">
        <v>3</v>
      </c>
      <c r="CC5">
        <v>0</v>
      </c>
      <c r="CD5">
        <f t="shared" si="21"/>
        <v>7.4626865671642006E-3</v>
      </c>
      <c r="CE5">
        <v>0.6</v>
      </c>
    </row>
    <row r="6" spans="1:83" x14ac:dyDescent="0.4">
      <c r="A6" t="s">
        <v>953</v>
      </c>
      <c r="B6" t="s">
        <v>19</v>
      </c>
      <c r="C6" t="s">
        <v>19</v>
      </c>
      <c r="D6" t="s">
        <v>19</v>
      </c>
      <c r="E6" t="s">
        <v>20</v>
      </c>
      <c r="F6" t="s">
        <v>22</v>
      </c>
      <c r="G6">
        <v>40</v>
      </c>
      <c r="H6">
        <v>63</v>
      </c>
      <c r="I6">
        <v>63</v>
      </c>
      <c r="J6">
        <f t="shared" si="4"/>
        <v>-23</v>
      </c>
      <c r="K6">
        <f t="shared" si="5"/>
        <v>0</v>
      </c>
      <c r="L6">
        <v>-23</v>
      </c>
      <c r="M6">
        <v>62.98</v>
      </c>
      <c r="N6" t="s">
        <v>144</v>
      </c>
      <c r="O6" t="s">
        <v>145</v>
      </c>
      <c r="P6" t="s">
        <v>13</v>
      </c>
      <c r="Q6">
        <v>0</v>
      </c>
      <c r="R6" t="s">
        <v>13</v>
      </c>
      <c r="S6" t="s">
        <v>15</v>
      </c>
      <c r="T6" t="s">
        <v>14</v>
      </c>
      <c r="U6">
        <v>0</v>
      </c>
      <c r="V6" t="s">
        <v>14</v>
      </c>
      <c r="W6">
        <f t="shared" si="6"/>
        <v>1</v>
      </c>
      <c r="X6" t="s">
        <v>14</v>
      </c>
      <c r="Y6" t="s">
        <v>14</v>
      </c>
      <c r="Z6">
        <v>0</v>
      </c>
      <c r="AA6">
        <f t="shared" si="0"/>
        <v>5595.229681978798</v>
      </c>
      <c r="AB6">
        <f t="shared" si="1"/>
        <v>99.116607773851584</v>
      </c>
      <c r="AC6">
        <f t="shared" si="2"/>
        <v>33.922261484098939</v>
      </c>
      <c r="AD6" t="s">
        <v>15</v>
      </c>
      <c r="AE6" t="s">
        <v>15</v>
      </c>
      <c r="AF6" t="s">
        <v>24</v>
      </c>
      <c r="AG6" t="s">
        <v>14</v>
      </c>
      <c r="AH6" t="s">
        <v>14</v>
      </c>
      <c r="AI6" t="s">
        <v>18</v>
      </c>
      <c r="AJ6" t="s">
        <v>14</v>
      </c>
      <c r="AK6" t="s">
        <v>14</v>
      </c>
      <c r="AL6" t="s">
        <v>17</v>
      </c>
      <c r="AM6">
        <f t="shared" si="3"/>
        <v>34.224598930481278</v>
      </c>
      <c r="AN6">
        <f t="shared" si="7"/>
        <v>5592.6916221033862</v>
      </c>
      <c r="AO6">
        <f t="shared" si="8"/>
        <v>3555.2584670231727</v>
      </c>
      <c r="AP6">
        <f t="shared" si="9"/>
        <v>805.70409982174681</v>
      </c>
      <c r="AQ6">
        <f t="shared" si="10"/>
        <v>1153.6541889483065</v>
      </c>
      <c r="AR6">
        <f t="shared" si="11"/>
        <v>1231.729055258467</v>
      </c>
      <c r="AS6">
        <f t="shared" si="12"/>
        <v>0.17667844522968199</v>
      </c>
      <c r="AT6">
        <f t="shared" si="13"/>
        <v>65.194346289752644</v>
      </c>
      <c r="AU6">
        <f t="shared" si="14"/>
        <v>9.8836653386454181</v>
      </c>
      <c r="AV6">
        <f t="shared" si="15"/>
        <v>20.627888446215138</v>
      </c>
      <c r="AW6">
        <f t="shared" si="16"/>
        <v>14.406374501992032</v>
      </c>
      <c r="AX6">
        <f t="shared" si="17"/>
        <v>22.023904382470121</v>
      </c>
      <c r="AY6">
        <f t="shared" si="18"/>
        <v>5460.0000000000191</v>
      </c>
      <c r="AZ6">
        <f t="shared" si="19"/>
        <v>552.76292335115863</v>
      </c>
      <c r="BA6">
        <f t="shared" si="20"/>
        <v>65.775401069518708</v>
      </c>
      <c r="BB6" t="s">
        <v>16</v>
      </c>
      <c r="BC6" t="s">
        <v>16</v>
      </c>
      <c r="BD6">
        <v>5.66</v>
      </c>
      <c r="BE6">
        <v>5.61</v>
      </c>
      <c r="BF6">
        <v>1.92</v>
      </c>
      <c r="BG6">
        <v>3.69</v>
      </c>
      <c r="BH6">
        <v>0.01</v>
      </c>
      <c r="BI6">
        <v>31669</v>
      </c>
      <c r="BJ6">
        <v>19945</v>
      </c>
      <c r="BK6">
        <v>6472</v>
      </c>
      <c r="BL6">
        <v>704</v>
      </c>
      <c r="BM6">
        <v>176</v>
      </c>
      <c r="BN6">
        <v>3101</v>
      </c>
      <c r="BO6">
        <v>539</v>
      </c>
      <c r="BP6">
        <v>334</v>
      </c>
      <c r="BQ6">
        <v>104</v>
      </c>
      <c r="BR6">
        <v>273</v>
      </c>
      <c r="BS6" t="s">
        <v>21</v>
      </c>
      <c r="BT6" t="s">
        <v>135</v>
      </c>
      <c r="BU6">
        <v>0</v>
      </c>
      <c r="BV6">
        <v>0</v>
      </c>
      <c r="BW6">
        <v>0</v>
      </c>
      <c r="BX6">
        <v>0</v>
      </c>
      <c r="BY6">
        <v>5.8</v>
      </c>
      <c r="BZ6">
        <v>5.8</v>
      </c>
      <c r="CA6">
        <v>1</v>
      </c>
      <c r="CB6">
        <v>1</v>
      </c>
      <c r="CC6">
        <v>0</v>
      </c>
      <c r="CD6">
        <f t="shared" si="21"/>
        <v>0</v>
      </c>
      <c r="CE6">
        <v>1</v>
      </c>
    </row>
    <row r="7" spans="1:83" x14ac:dyDescent="0.4">
      <c r="A7" t="s">
        <v>954</v>
      </c>
      <c r="B7" t="s">
        <v>20</v>
      </c>
      <c r="C7" t="s">
        <v>73</v>
      </c>
      <c r="D7" t="s">
        <v>82</v>
      </c>
      <c r="E7" t="s">
        <v>20</v>
      </c>
      <c r="F7" t="s">
        <v>22</v>
      </c>
      <c r="G7">
        <v>40</v>
      </c>
      <c r="H7">
        <v>60</v>
      </c>
      <c r="I7">
        <v>58</v>
      </c>
      <c r="J7">
        <f t="shared" si="4"/>
        <v>-18</v>
      </c>
      <c r="K7">
        <f t="shared" si="5"/>
        <v>2</v>
      </c>
      <c r="L7">
        <v>-20</v>
      </c>
      <c r="M7">
        <v>58.16</v>
      </c>
      <c r="N7" t="s">
        <v>148</v>
      </c>
      <c r="O7" t="s">
        <v>149</v>
      </c>
      <c r="P7" t="s">
        <v>13</v>
      </c>
      <c r="Q7">
        <v>0</v>
      </c>
      <c r="R7" t="s">
        <v>13</v>
      </c>
      <c r="S7" t="s">
        <v>15</v>
      </c>
      <c r="T7" t="s">
        <v>14</v>
      </c>
      <c r="U7">
        <v>2.5</v>
      </c>
      <c r="V7" t="s">
        <v>14</v>
      </c>
      <c r="W7">
        <f t="shared" si="6"/>
        <v>1</v>
      </c>
      <c r="X7" t="s">
        <v>14</v>
      </c>
      <c r="Y7" t="s">
        <v>14</v>
      </c>
      <c r="Z7">
        <v>0</v>
      </c>
      <c r="AA7">
        <f t="shared" si="0"/>
        <v>2725.0501002004007</v>
      </c>
      <c r="AB7">
        <f t="shared" si="1"/>
        <v>63.567134268537075</v>
      </c>
      <c r="AC7">
        <f t="shared" si="2"/>
        <v>23.607214428857716</v>
      </c>
      <c r="AD7" t="s">
        <v>27</v>
      </c>
      <c r="AE7" t="s">
        <v>15</v>
      </c>
      <c r="AF7" t="s">
        <v>24</v>
      </c>
      <c r="AG7" t="s">
        <v>14</v>
      </c>
      <c r="AH7" t="s">
        <v>14</v>
      </c>
      <c r="AI7" t="s">
        <v>14</v>
      </c>
      <c r="AJ7" t="s">
        <v>14</v>
      </c>
      <c r="AK7" t="s">
        <v>14</v>
      </c>
      <c r="AL7" t="s">
        <v>14</v>
      </c>
      <c r="AM7">
        <f t="shared" si="3"/>
        <v>37.137452711223204</v>
      </c>
      <c r="AN7">
        <f t="shared" si="7"/>
        <v>3883.7326607818413</v>
      </c>
      <c r="AO7">
        <f t="shared" si="8"/>
        <v>2493.1273644388398</v>
      </c>
      <c r="AP7">
        <f t="shared" si="9"/>
        <v>347.3518284993695</v>
      </c>
      <c r="AQ7">
        <f t="shared" si="10"/>
        <v>930.13871374527116</v>
      </c>
      <c r="AR7">
        <f t="shared" si="11"/>
        <v>1043.2534678436318</v>
      </c>
      <c r="AS7">
        <f t="shared" si="12"/>
        <v>2.2845691382765527</v>
      </c>
      <c r="AT7">
        <f t="shared" si="13"/>
        <v>40</v>
      </c>
      <c r="AU7">
        <f t="shared" si="14"/>
        <v>6.8608351191635819</v>
      </c>
      <c r="AV7">
        <f t="shared" si="15"/>
        <v>23.94960711734528</v>
      </c>
      <c r="AW7">
        <f t="shared" si="16"/>
        <v>8.943762581985844</v>
      </c>
      <c r="AX7">
        <f t="shared" si="17"/>
        <v>26.862133904799013</v>
      </c>
      <c r="AY7">
        <f t="shared" si="18"/>
        <v>701.43014301430139</v>
      </c>
      <c r="AZ7">
        <f t="shared" si="19"/>
        <v>266.4564943253468</v>
      </c>
      <c r="BA7">
        <f t="shared" si="20"/>
        <v>62.925598991172762</v>
      </c>
      <c r="BB7" t="s">
        <v>31</v>
      </c>
      <c r="BC7" t="s">
        <v>31</v>
      </c>
      <c r="BD7">
        <v>24.95</v>
      </c>
      <c r="BE7">
        <v>15.86</v>
      </c>
      <c r="BF7">
        <v>5.89</v>
      </c>
      <c r="BG7">
        <v>9.98</v>
      </c>
      <c r="BH7">
        <v>0.56999999999999995</v>
      </c>
      <c r="BI7">
        <v>67990</v>
      </c>
      <c r="BJ7">
        <v>39541</v>
      </c>
      <c r="BK7">
        <v>14752</v>
      </c>
      <c r="BL7">
        <v>743</v>
      </c>
      <c r="BM7">
        <v>291</v>
      </c>
      <c r="BN7">
        <v>4226</v>
      </c>
      <c r="BO7">
        <v>249</v>
      </c>
      <c r="BP7">
        <v>1616</v>
      </c>
      <c r="BQ7">
        <v>178</v>
      </c>
      <c r="BR7">
        <v>6376</v>
      </c>
      <c r="BS7" t="s">
        <v>21</v>
      </c>
      <c r="BT7" t="s">
        <v>147</v>
      </c>
      <c r="BU7">
        <v>0</v>
      </c>
      <c r="BV7">
        <v>0</v>
      </c>
      <c r="BW7">
        <v>0</v>
      </c>
      <c r="BX7">
        <v>0.1</v>
      </c>
      <c r="BY7">
        <v>26.5</v>
      </c>
      <c r="BZ7">
        <v>26.6</v>
      </c>
      <c r="CA7">
        <v>2</v>
      </c>
      <c r="CB7">
        <v>2</v>
      </c>
      <c r="CC7">
        <v>0</v>
      </c>
      <c r="CD7">
        <f t="shared" si="21"/>
        <v>3.7593984962406291E-3</v>
      </c>
      <c r="CE7">
        <v>1</v>
      </c>
    </row>
    <row r="8" spans="1:83" x14ac:dyDescent="0.4">
      <c r="A8" t="s">
        <v>955</v>
      </c>
      <c r="B8" t="s">
        <v>34</v>
      </c>
      <c r="C8" t="s">
        <v>34</v>
      </c>
      <c r="D8" t="s">
        <v>34</v>
      </c>
      <c r="E8" t="s">
        <v>20</v>
      </c>
      <c r="F8" t="s">
        <v>32</v>
      </c>
      <c r="G8">
        <v>20</v>
      </c>
      <c r="H8">
        <v>78</v>
      </c>
      <c r="I8">
        <v>86</v>
      </c>
      <c r="J8">
        <f t="shared" si="4"/>
        <v>-66</v>
      </c>
      <c r="K8">
        <f t="shared" si="5"/>
        <v>-8</v>
      </c>
      <c r="L8">
        <v>-58</v>
      </c>
      <c r="M8">
        <v>86.11</v>
      </c>
      <c r="N8" t="s">
        <v>153</v>
      </c>
      <c r="O8" t="s">
        <v>154</v>
      </c>
      <c r="P8" t="s">
        <v>13</v>
      </c>
      <c r="Q8">
        <v>0.1</v>
      </c>
      <c r="R8" t="s">
        <v>13</v>
      </c>
      <c r="S8" t="s">
        <v>15</v>
      </c>
      <c r="T8" t="s">
        <v>14</v>
      </c>
      <c r="U8">
        <v>2.5</v>
      </c>
      <c r="V8" t="s">
        <v>14</v>
      </c>
      <c r="W8">
        <v>0</v>
      </c>
      <c r="X8" t="s">
        <v>14</v>
      </c>
      <c r="Y8" t="s">
        <v>14</v>
      </c>
      <c r="Z8">
        <v>20</v>
      </c>
      <c r="AA8">
        <f t="shared" si="0"/>
        <v>1130.3428154631656</v>
      </c>
      <c r="AB8">
        <f t="shared" si="1"/>
        <v>17.797228300510575</v>
      </c>
      <c r="AC8">
        <f t="shared" si="2"/>
        <v>16.994894237782638</v>
      </c>
      <c r="AD8" t="s">
        <v>27</v>
      </c>
      <c r="AE8" t="s">
        <v>15</v>
      </c>
      <c r="AF8" t="s">
        <v>18</v>
      </c>
      <c r="AG8" t="s">
        <v>14</v>
      </c>
      <c r="AH8" t="s">
        <v>14</v>
      </c>
      <c r="AI8" t="s">
        <v>14</v>
      </c>
      <c r="AJ8" t="s">
        <v>14</v>
      </c>
      <c r="AK8" t="s">
        <v>14</v>
      </c>
      <c r="AL8" t="s">
        <v>14</v>
      </c>
      <c r="AM8">
        <f t="shared" si="3"/>
        <v>95.491803278688522</v>
      </c>
      <c r="AN8">
        <f t="shared" si="7"/>
        <v>6298.7704918032787</v>
      </c>
      <c r="AO8">
        <f t="shared" si="8"/>
        <v>5469.2622950819677</v>
      </c>
      <c r="AP8">
        <f t="shared" si="9"/>
        <v>672.95081967213116</v>
      </c>
      <c r="AQ8">
        <f t="shared" si="10"/>
        <v>88.934426229508205</v>
      </c>
      <c r="AR8">
        <f t="shared" si="11"/>
        <v>156.55737704918033</v>
      </c>
      <c r="AS8">
        <f t="shared" si="12"/>
        <v>81.108679795769504</v>
      </c>
      <c r="AT8">
        <f t="shared" si="13"/>
        <v>0.87527352297592997</v>
      </c>
      <c r="AU8">
        <f t="shared" si="14"/>
        <v>7.1702778319994795</v>
      </c>
      <c r="AV8">
        <f t="shared" si="15"/>
        <v>1.4119331121087904</v>
      </c>
      <c r="AW8">
        <f t="shared" si="16"/>
        <v>10.68384410176329</v>
      </c>
      <c r="AX8">
        <f t="shared" si="17"/>
        <v>2.4855228056477325</v>
      </c>
      <c r="AY8">
        <f t="shared" si="18"/>
        <v>10.82519964507542</v>
      </c>
      <c r="AZ8">
        <f t="shared" si="19"/>
        <v>451.63934426229508</v>
      </c>
      <c r="BA8">
        <f t="shared" si="20"/>
        <v>4.918032786885246</v>
      </c>
      <c r="BB8" t="s">
        <v>33</v>
      </c>
      <c r="BC8" t="s">
        <v>33</v>
      </c>
      <c r="BD8">
        <v>13.71</v>
      </c>
      <c r="BE8">
        <v>2.44</v>
      </c>
      <c r="BF8">
        <v>2.33</v>
      </c>
      <c r="BG8">
        <v>0.12</v>
      </c>
      <c r="BH8">
        <v>11.12</v>
      </c>
      <c r="BI8">
        <v>15497</v>
      </c>
      <c r="BJ8">
        <v>13345</v>
      </c>
      <c r="BK8">
        <v>217</v>
      </c>
      <c r="BL8">
        <v>254</v>
      </c>
      <c r="BM8">
        <v>78</v>
      </c>
      <c r="BN8">
        <v>1102</v>
      </c>
      <c r="BO8">
        <v>208</v>
      </c>
      <c r="BP8">
        <v>26</v>
      </c>
      <c r="BQ8">
        <v>139</v>
      </c>
      <c r="BR8">
        <v>122</v>
      </c>
      <c r="BS8" t="s">
        <v>21</v>
      </c>
      <c r="BT8" t="s">
        <v>152</v>
      </c>
      <c r="BU8">
        <v>0</v>
      </c>
      <c r="BV8">
        <v>0</v>
      </c>
      <c r="BW8">
        <v>0</v>
      </c>
      <c r="BX8">
        <v>0</v>
      </c>
      <c r="BY8">
        <v>20.100000000000001</v>
      </c>
      <c r="BZ8">
        <v>20.100000000000001</v>
      </c>
      <c r="CA8">
        <v>0</v>
      </c>
      <c r="CB8">
        <v>0</v>
      </c>
      <c r="CC8">
        <v>0</v>
      </c>
      <c r="CD8">
        <f t="shared" si="21"/>
        <v>0</v>
      </c>
      <c r="CE8">
        <v>0</v>
      </c>
    </row>
    <row r="9" spans="1:83" x14ac:dyDescent="0.4">
      <c r="A9" t="s">
        <v>956</v>
      </c>
      <c r="B9" t="s">
        <v>25</v>
      </c>
      <c r="C9" t="s">
        <v>82</v>
      </c>
      <c r="D9" t="s">
        <v>82</v>
      </c>
      <c r="E9" t="s">
        <v>20</v>
      </c>
      <c r="F9" t="s">
        <v>12</v>
      </c>
      <c r="G9">
        <v>90</v>
      </c>
      <c r="H9">
        <v>89</v>
      </c>
      <c r="I9">
        <v>87.5</v>
      </c>
      <c r="J9">
        <f t="shared" si="4"/>
        <v>2.5</v>
      </c>
      <c r="K9">
        <f t="shared" si="5"/>
        <v>1.5</v>
      </c>
      <c r="L9">
        <v>1</v>
      </c>
      <c r="M9">
        <v>87.61</v>
      </c>
      <c r="N9" t="s">
        <v>157</v>
      </c>
      <c r="O9" t="s">
        <v>158</v>
      </c>
      <c r="P9" t="s">
        <v>13</v>
      </c>
      <c r="Q9">
        <v>0.5</v>
      </c>
      <c r="R9" t="s">
        <v>13</v>
      </c>
      <c r="S9" t="s">
        <v>35</v>
      </c>
      <c r="T9" t="s">
        <v>14</v>
      </c>
      <c r="U9">
        <v>2.5</v>
      </c>
      <c r="V9" t="s">
        <v>14</v>
      </c>
      <c r="W9">
        <f t="shared" si="6"/>
        <v>1</v>
      </c>
      <c r="X9" t="s">
        <v>14</v>
      </c>
      <c r="Y9" t="s">
        <v>14</v>
      </c>
      <c r="Z9">
        <v>0</v>
      </c>
      <c r="AA9">
        <f t="shared" si="0"/>
        <v>5524.1655611568058</v>
      </c>
      <c r="AB9">
        <f t="shared" si="1"/>
        <v>84.844786415494823</v>
      </c>
      <c r="AC9">
        <f t="shared" si="2"/>
        <v>71.164765189705506</v>
      </c>
      <c r="AD9" t="s">
        <v>15</v>
      </c>
      <c r="AE9" t="s">
        <v>27</v>
      </c>
      <c r="AF9" t="s">
        <v>18</v>
      </c>
      <c r="AG9" t="s">
        <v>14</v>
      </c>
      <c r="AH9" t="s">
        <v>14</v>
      </c>
      <c r="AI9" t="s">
        <v>14</v>
      </c>
      <c r="AJ9" t="s">
        <v>14</v>
      </c>
      <c r="AK9" t="s">
        <v>14</v>
      </c>
      <c r="AL9" t="s">
        <v>14</v>
      </c>
      <c r="AM9">
        <f t="shared" si="3"/>
        <v>83.876415035336819</v>
      </c>
      <c r="AN9">
        <f t="shared" si="7"/>
        <v>6280.173869535306</v>
      </c>
      <c r="AO9">
        <f t="shared" si="8"/>
        <v>5704.1528550878738</v>
      </c>
      <c r="AP9">
        <f t="shared" si="9"/>
        <v>191.13765713928328</v>
      </c>
      <c r="AQ9">
        <f t="shared" si="10"/>
        <v>329.74544999687288</v>
      </c>
      <c r="AR9">
        <f t="shared" si="11"/>
        <v>384.88335730814941</v>
      </c>
      <c r="AS9">
        <f t="shared" si="12"/>
        <v>0.64208012735473607</v>
      </c>
      <c r="AT9">
        <f t="shared" si="13"/>
        <v>13.674714778455824</v>
      </c>
      <c r="AU9">
        <f t="shared" si="14"/>
        <v>1.7558361060293566</v>
      </c>
      <c r="AV9">
        <f t="shared" si="15"/>
        <v>5.2505783573357023</v>
      </c>
      <c r="AW9">
        <f t="shared" si="16"/>
        <v>3.0435090032535399</v>
      </c>
      <c r="AX9">
        <f t="shared" si="17"/>
        <v>6.1285462043525936</v>
      </c>
      <c r="AY9">
        <f t="shared" si="18"/>
        <v>1287.359943977591</v>
      </c>
      <c r="AZ9">
        <f t="shared" si="19"/>
        <v>110.26956032272189</v>
      </c>
      <c r="BA9">
        <f t="shared" si="20"/>
        <v>16.117330664832075</v>
      </c>
      <c r="BB9" t="s">
        <v>16</v>
      </c>
      <c r="BC9" t="s">
        <v>16</v>
      </c>
      <c r="BD9">
        <v>188.45</v>
      </c>
      <c r="BE9">
        <v>159.88999999999999</v>
      </c>
      <c r="BF9">
        <v>134.11000000000001</v>
      </c>
      <c r="BG9">
        <v>25.77</v>
      </c>
      <c r="BH9">
        <v>1.21</v>
      </c>
      <c r="BI9">
        <v>1041029</v>
      </c>
      <c r="BJ9">
        <v>912037</v>
      </c>
      <c r="BK9">
        <v>52723</v>
      </c>
      <c r="BL9">
        <v>7390</v>
      </c>
      <c r="BM9">
        <v>2365</v>
      </c>
      <c r="BN9">
        <v>17631</v>
      </c>
      <c r="BO9">
        <v>3175</v>
      </c>
      <c r="BP9">
        <v>6179</v>
      </c>
      <c r="BQ9">
        <v>2637</v>
      </c>
      <c r="BR9">
        <v>36767</v>
      </c>
      <c r="BS9" t="s">
        <v>21</v>
      </c>
      <c r="BT9" t="s">
        <v>156</v>
      </c>
      <c r="BU9">
        <v>0</v>
      </c>
      <c r="BV9">
        <v>0.2</v>
      </c>
      <c r="BW9">
        <v>1.3</v>
      </c>
      <c r="BX9">
        <v>1</v>
      </c>
      <c r="BY9">
        <v>196.6</v>
      </c>
      <c r="BZ9">
        <v>202.8</v>
      </c>
      <c r="CA9">
        <v>1</v>
      </c>
      <c r="CB9">
        <v>1</v>
      </c>
      <c r="CC9">
        <v>0</v>
      </c>
      <c r="CD9">
        <f t="shared" si="21"/>
        <v>3.0571992110453694E-2</v>
      </c>
      <c r="CE9">
        <v>1</v>
      </c>
    </row>
    <row r="10" spans="1:83" x14ac:dyDescent="0.4">
      <c r="A10" t="s">
        <v>957</v>
      </c>
      <c r="B10" t="s">
        <v>20</v>
      </c>
      <c r="C10" t="s">
        <v>73</v>
      </c>
      <c r="D10" t="s">
        <v>82</v>
      </c>
      <c r="E10" t="s">
        <v>20</v>
      </c>
      <c r="F10" t="s">
        <v>12</v>
      </c>
      <c r="G10">
        <v>90</v>
      </c>
      <c r="H10">
        <v>40</v>
      </c>
      <c r="I10">
        <v>38.5</v>
      </c>
      <c r="J10">
        <f t="shared" si="4"/>
        <v>51.5</v>
      </c>
      <c r="K10">
        <f t="shared" si="5"/>
        <v>1.5</v>
      </c>
      <c r="L10">
        <v>50</v>
      </c>
      <c r="M10">
        <v>38.74</v>
      </c>
      <c r="N10" t="s">
        <v>160</v>
      </c>
      <c r="O10" t="s">
        <v>161</v>
      </c>
      <c r="P10" t="s">
        <v>13</v>
      </c>
      <c r="Q10">
        <v>0.2</v>
      </c>
      <c r="R10" t="s">
        <v>13</v>
      </c>
      <c r="S10" t="s">
        <v>15</v>
      </c>
      <c r="T10" t="s">
        <v>14</v>
      </c>
      <c r="U10">
        <v>0</v>
      </c>
      <c r="V10" t="s">
        <v>14</v>
      </c>
      <c r="W10">
        <f t="shared" si="6"/>
        <v>1</v>
      </c>
      <c r="X10" t="s">
        <v>17</v>
      </c>
      <c r="Y10" t="s">
        <v>14</v>
      </c>
      <c r="Z10">
        <v>0</v>
      </c>
      <c r="AA10">
        <f t="shared" si="0"/>
        <v>2103.3634038925984</v>
      </c>
      <c r="AB10">
        <f t="shared" si="1"/>
        <v>54.901264384145485</v>
      </c>
      <c r="AC10">
        <f t="shared" si="2"/>
        <v>20.372211961926411</v>
      </c>
      <c r="AD10" t="s">
        <v>15</v>
      </c>
      <c r="AE10" t="s">
        <v>27</v>
      </c>
      <c r="AF10" t="s">
        <v>24</v>
      </c>
      <c r="AG10" t="s">
        <v>14</v>
      </c>
      <c r="AH10" t="s">
        <v>14</v>
      </c>
      <c r="AI10" t="s">
        <v>14</v>
      </c>
      <c r="AJ10" t="s">
        <v>14</v>
      </c>
      <c r="AK10" t="s">
        <v>14</v>
      </c>
      <c r="AL10" t="s">
        <v>14</v>
      </c>
      <c r="AM10">
        <f t="shared" si="3"/>
        <v>37.106999611851464</v>
      </c>
      <c r="AN10">
        <f t="shared" si="7"/>
        <v>2900.7762970630092</v>
      </c>
      <c r="AO10">
        <f t="shared" si="8"/>
        <v>1484.3576141803596</v>
      </c>
      <c r="AP10">
        <f t="shared" si="9"/>
        <v>358.01526717557249</v>
      </c>
      <c r="AQ10">
        <f t="shared" si="10"/>
        <v>937.90270410143603</v>
      </c>
      <c r="AR10">
        <f t="shared" si="11"/>
        <v>1058.4034157070771</v>
      </c>
      <c r="AS10">
        <f t="shared" si="12"/>
        <v>0.38357721267225459</v>
      </c>
      <c r="AT10">
        <f t="shared" si="13"/>
        <v>34.529052422219067</v>
      </c>
      <c r="AU10">
        <f t="shared" si="14"/>
        <v>8.7165088469721361</v>
      </c>
      <c r="AV10">
        <f t="shared" si="15"/>
        <v>32.332817427219325</v>
      </c>
      <c r="AW10">
        <f t="shared" si="16"/>
        <v>12.342050213870589</v>
      </c>
      <c r="AX10">
        <f t="shared" si="17"/>
        <v>36.486902377777085</v>
      </c>
      <c r="AY10">
        <f t="shared" si="18"/>
        <v>1130.9891321467949</v>
      </c>
      <c r="AZ10">
        <f t="shared" si="19"/>
        <v>252.84642256436794</v>
      </c>
      <c r="BA10">
        <f t="shared" si="20"/>
        <v>62.893000388148529</v>
      </c>
      <c r="BB10" t="s">
        <v>16</v>
      </c>
      <c r="BC10" t="s">
        <v>16</v>
      </c>
      <c r="BD10">
        <v>281.56</v>
      </c>
      <c r="BE10">
        <v>154.58000000000001</v>
      </c>
      <c r="BF10">
        <v>57.36</v>
      </c>
      <c r="BG10">
        <v>97.22</v>
      </c>
      <c r="BH10">
        <v>1.08</v>
      </c>
      <c r="BI10">
        <v>592223</v>
      </c>
      <c r="BJ10">
        <v>229452</v>
      </c>
      <c r="BK10">
        <v>144981</v>
      </c>
      <c r="BL10">
        <v>11054</v>
      </c>
      <c r="BM10">
        <v>3611</v>
      </c>
      <c r="BN10">
        <v>39085</v>
      </c>
      <c r="BO10">
        <v>1592</v>
      </c>
      <c r="BP10">
        <v>14516</v>
      </c>
      <c r="BQ10">
        <v>4111</v>
      </c>
      <c r="BR10">
        <v>143613</v>
      </c>
      <c r="BS10" t="s">
        <v>21</v>
      </c>
      <c r="BT10" t="s">
        <v>159</v>
      </c>
      <c r="BU10">
        <v>0</v>
      </c>
      <c r="BV10">
        <v>0</v>
      </c>
      <c r="BW10">
        <v>2</v>
      </c>
      <c r="BX10">
        <v>0</v>
      </c>
      <c r="BY10">
        <v>318</v>
      </c>
      <c r="BZ10">
        <v>325.5</v>
      </c>
      <c r="CA10">
        <v>1</v>
      </c>
      <c r="CB10">
        <v>1</v>
      </c>
      <c r="CC10">
        <v>0</v>
      </c>
      <c r="CD10">
        <f t="shared" si="21"/>
        <v>2.3041474654377891E-2</v>
      </c>
      <c r="CE10">
        <v>1</v>
      </c>
    </row>
    <row r="11" spans="1:83" x14ac:dyDescent="0.4">
      <c r="A11" t="s">
        <v>958</v>
      </c>
      <c r="B11" t="s">
        <v>20</v>
      </c>
      <c r="C11" t="s">
        <v>73</v>
      </c>
      <c r="D11" t="s">
        <v>82</v>
      </c>
      <c r="E11" t="s">
        <v>20</v>
      </c>
      <c r="F11" t="s">
        <v>22</v>
      </c>
      <c r="G11">
        <v>80</v>
      </c>
      <c r="H11">
        <v>85</v>
      </c>
      <c r="I11">
        <v>79.5</v>
      </c>
      <c r="J11">
        <f t="shared" si="4"/>
        <v>0.5</v>
      </c>
      <c r="K11">
        <f t="shared" si="5"/>
        <v>5.5</v>
      </c>
      <c r="L11">
        <v>-5</v>
      </c>
      <c r="M11">
        <v>79.650000000000006</v>
      </c>
      <c r="N11" t="s">
        <v>163</v>
      </c>
      <c r="O11" t="s">
        <v>164</v>
      </c>
      <c r="P11" t="s">
        <v>13</v>
      </c>
      <c r="Q11">
        <v>0.2</v>
      </c>
      <c r="R11" t="s">
        <v>26</v>
      </c>
      <c r="S11" t="s">
        <v>15</v>
      </c>
      <c r="T11" t="s">
        <v>14</v>
      </c>
      <c r="U11">
        <v>2.5</v>
      </c>
      <c r="V11" t="s">
        <v>14</v>
      </c>
      <c r="W11">
        <f t="shared" si="6"/>
        <v>1</v>
      </c>
      <c r="X11" t="s">
        <v>14</v>
      </c>
      <c r="Y11" t="s">
        <v>14</v>
      </c>
      <c r="Z11">
        <v>0</v>
      </c>
      <c r="AA11">
        <f t="shared" si="0"/>
        <v>1938.9204545454545</v>
      </c>
      <c r="AB11">
        <f t="shared" si="1"/>
        <v>27.130681818181817</v>
      </c>
      <c r="AC11">
        <f t="shared" si="2"/>
        <v>22.869318181818183</v>
      </c>
      <c r="AD11" t="s">
        <v>27</v>
      </c>
      <c r="AE11" t="s">
        <v>36</v>
      </c>
      <c r="AF11" t="s">
        <v>18</v>
      </c>
      <c r="AG11" t="s">
        <v>14</v>
      </c>
      <c r="AH11" t="s">
        <v>14</v>
      </c>
      <c r="AI11" t="s">
        <v>14</v>
      </c>
      <c r="AJ11" t="s">
        <v>14</v>
      </c>
      <c r="AK11" t="s">
        <v>14</v>
      </c>
      <c r="AL11" t="s">
        <v>14</v>
      </c>
      <c r="AM11">
        <f t="shared" si="3"/>
        <v>84.293193717277489</v>
      </c>
      <c r="AN11">
        <f t="shared" si="7"/>
        <v>6391.099476439791</v>
      </c>
      <c r="AO11">
        <f t="shared" si="8"/>
        <v>5692.146596858639</v>
      </c>
      <c r="AP11">
        <f t="shared" si="9"/>
        <v>525.13089005235599</v>
      </c>
      <c r="AQ11">
        <f t="shared" si="10"/>
        <v>63.874345549738223</v>
      </c>
      <c r="AR11">
        <f t="shared" si="11"/>
        <v>173.82198952879583</v>
      </c>
      <c r="AS11">
        <f t="shared" si="12"/>
        <v>46.448863636363633</v>
      </c>
      <c r="AT11">
        <f t="shared" si="13"/>
        <v>4.2613636363636367</v>
      </c>
      <c r="AU11">
        <f t="shared" si="14"/>
        <v>3.4734168919472435</v>
      </c>
      <c r="AV11">
        <f t="shared" si="15"/>
        <v>0.99942655853198981</v>
      </c>
      <c r="AW11">
        <f t="shared" si="16"/>
        <v>8.2165970344884087</v>
      </c>
      <c r="AX11">
        <f t="shared" si="17"/>
        <v>2.7197509625624643</v>
      </c>
      <c r="AY11">
        <f t="shared" si="18"/>
        <v>281.09161793372323</v>
      </c>
      <c r="AZ11">
        <f t="shared" si="19"/>
        <v>221.98952879581154</v>
      </c>
      <c r="BA11">
        <f t="shared" si="20"/>
        <v>15.706806282722514</v>
      </c>
      <c r="BB11" t="s">
        <v>31</v>
      </c>
      <c r="BC11" t="s">
        <v>31</v>
      </c>
      <c r="BD11">
        <v>7.04</v>
      </c>
      <c r="BE11">
        <v>1.91</v>
      </c>
      <c r="BF11">
        <v>1.61</v>
      </c>
      <c r="BG11">
        <v>0.3</v>
      </c>
      <c r="BH11">
        <v>3.27</v>
      </c>
      <c r="BI11">
        <v>13650</v>
      </c>
      <c r="BJ11">
        <v>10872</v>
      </c>
      <c r="BK11">
        <v>122</v>
      </c>
      <c r="BL11">
        <v>393</v>
      </c>
      <c r="BM11">
        <v>56</v>
      </c>
      <c r="BN11">
        <v>424</v>
      </c>
      <c r="BO11">
        <v>130</v>
      </c>
      <c r="BP11">
        <v>133</v>
      </c>
      <c r="BQ11">
        <v>77</v>
      </c>
      <c r="BR11">
        <v>1442</v>
      </c>
      <c r="BS11" t="s">
        <v>21</v>
      </c>
      <c r="BT11" t="s">
        <v>162</v>
      </c>
      <c r="BU11">
        <v>0</v>
      </c>
      <c r="BV11">
        <v>0</v>
      </c>
      <c r="BW11">
        <v>0</v>
      </c>
      <c r="BX11">
        <v>0</v>
      </c>
      <c r="BY11">
        <v>8</v>
      </c>
      <c r="BZ11">
        <v>8</v>
      </c>
      <c r="CA11">
        <v>2</v>
      </c>
      <c r="CB11">
        <v>2</v>
      </c>
      <c r="CC11">
        <v>0</v>
      </c>
      <c r="CD11">
        <f t="shared" si="21"/>
        <v>0</v>
      </c>
      <c r="CE11">
        <v>1</v>
      </c>
    </row>
    <row r="12" spans="1:83" x14ac:dyDescent="0.4">
      <c r="A12" t="s">
        <v>959</v>
      </c>
      <c r="B12" t="s">
        <v>19</v>
      </c>
      <c r="C12" t="s">
        <v>19</v>
      </c>
      <c r="D12" t="s">
        <v>19</v>
      </c>
      <c r="E12" t="s">
        <v>20</v>
      </c>
      <c r="F12" t="s">
        <v>22</v>
      </c>
      <c r="G12">
        <v>80</v>
      </c>
      <c r="H12">
        <v>62</v>
      </c>
      <c r="I12">
        <v>25.5</v>
      </c>
      <c r="J12">
        <f t="shared" si="4"/>
        <v>54.5</v>
      </c>
      <c r="K12">
        <f t="shared" si="5"/>
        <v>36.5</v>
      </c>
      <c r="L12">
        <v>18</v>
      </c>
      <c r="M12">
        <v>25.73</v>
      </c>
      <c r="N12" t="s">
        <v>166</v>
      </c>
      <c r="O12" t="s">
        <v>167</v>
      </c>
      <c r="P12" t="s">
        <v>13</v>
      </c>
      <c r="Q12">
        <v>0</v>
      </c>
      <c r="R12" t="s">
        <v>13</v>
      </c>
      <c r="S12" t="s">
        <v>15</v>
      </c>
      <c r="T12" t="s">
        <v>14</v>
      </c>
      <c r="U12">
        <v>0</v>
      </c>
      <c r="V12" t="s">
        <v>14</v>
      </c>
      <c r="W12">
        <f t="shared" si="6"/>
        <v>0.66666666666666663</v>
      </c>
      <c r="X12" t="s">
        <v>14</v>
      </c>
      <c r="Y12" t="s">
        <v>14</v>
      </c>
      <c r="Z12">
        <v>0</v>
      </c>
      <c r="AA12">
        <f t="shared" si="0"/>
        <v>3789.526411657559</v>
      </c>
      <c r="AB12">
        <f t="shared" si="1"/>
        <v>23.497267759562842</v>
      </c>
      <c r="AC12">
        <f t="shared" si="2"/>
        <v>14.389799635701275</v>
      </c>
      <c r="AD12" t="s">
        <v>15</v>
      </c>
      <c r="AE12" t="s">
        <v>15</v>
      </c>
      <c r="AF12" t="s">
        <v>18</v>
      </c>
      <c r="AG12" t="s">
        <v>14</v>
      </c>
      <c r="AH12" t="s">
        <v>14</v>
      </c>
      <c r="AI12" t="s">
        <v>14</v>
      </c>
      <c r="AJ12" t="s">
        <v>14</v>
      </c>
      <c r="AK12" t="s">
        <v>14</v>
      </c>
      <c r="AL12" t="s">
        <v>14</v>
      </c>
      <c r="AM12">
        <f t="shared" si="3"/>
        <v>61.240310077519375</v>
      </c>
      <c r="AN12">
        <f t="shared" si="7"/>
        <v>5047.0930232558139</v>
      </c>
      <c r="AO12">
        <f t="shared" si="8"/>
        <v>4150.1937984496126</v>
      </c>
      <c r="AP12">
        <f t="shared" si="9"/>
        <v>470.3488372093023</v>
      </c>
      <c r="AQ12">
        <f t="shared" si="10"/>
        <v>321.70542635658916</v>
      </c>
      <c r="AR12">
        <f t="shared" si="11"/>
        <v>426.55038759689921</v>
      </c>
      <c r="AS12">
        <f t="shared" si="12"/>
        <v>0</v>
      </c>
      <c r="AT12">
        <f t="shared" si="13"/>
        <v>9.1074681238615653</v>
      </c>
      <c r="AU12">
        <f t="shared" si="14"/>
        <v>5.0954191145413352</v>
      </c>
      <c r="AV12">
        <f t="shared" si="15"/>
        <v>6.3740736474292516</v>
      </c>
      <c r="AW12">
        <f t="shared" si="16"/>
        <v>9.3192028568137317</v>
      </c>
      <c r="AX12">
        <f t="shared" si="17"/>
        <v>8.4514072879468571</v>
      </c>
      <c r="AY12">
        <f t="shared" si="18"/>
        <v>3402.6785714285711</v>
      </c>
      <c r="AZ12">
        <f t="shared" si="19"/>
        <v>257.17054263565893</v>
      </c>
      <c r="BA12">
        <f t="shared" si="20"/>
        <v>38.759689922480618</v>
      </c>
      <c r="BB12" t="s">
        <v>30</v>
      </c>
      <c r="BC12" t="s">
        <v>31</v>
      </c>
      <c r="BD12">
        <v>21.96</v>
      </c>
      <c r="BE12">
        <v>5.16</v>
      </c>
      <c r="BF12">
        <v>3.16</v>
      </c>
      <c r="BG12">
        <v>2</v>
      </c>
      <c r="BH12">
        <v>0</v>
      </c>
      <c r="BI12">
        <v>83218</v>
      </c>
      <c r="BJ12">
        <v>21415</v>
      </c>
      <c r="BK12">
        <v>1660</v>
      </c>
      <c r="BL12">
        <v>810</v>
      </c>
      <c r="BM12">
        <v>99</v>
      </c>
      <c r="BN12">
        <v>1327</v>
      </c>
      <c r="BO12">
        <v>191</v>
      </c>
      <c r="BP12">
        <v>172</v>
      </c>
      <c r="BQ12">
        <v>369</v>
      </c>
      <c r="BR12">
        <v>57165</v>
      </c>
      <c r="BS12" t="s">
        <v>21</v>
      </c>
      <c r="BT12" t="s">
        <v>131</v>
      </c>
      <c r="BU12">
        <v>0</v>
      </c>
      <c r="BV12">
        <v>0.1</v>
      </c>
      <c r="BW12">
        <v>0</v>
      </c>
      <c r="BX12">
        <v>0</v>
      </c>
      <c r="BY12">
        <v>23.1</v>
      </c>
      <c r="BZ12">
        <v>23.1</v>
      </c>
      <c r="CA12">
        <v>3</v>
      </c>
      <c r="CB12">
        <v>2</v>
      </c>
      <c r="CC12">
        <v>0</v>
      </c>
      <c r="CD12">
        <f t="shared" si="21"/>
        <v>0</v>
      </c>
      <c r="CE12">
        <v>0.66666666666666663</v>
      </c>
    </row>
    <row r="13" spans="1:83" x14ac:dyDescent="0.4">
      <c r="A13" t="s">
        <v>960</v>
      </c>
      <c r="B13" t="s">
        <v>20</v>
      </c>
      <c r="C13" t="s">
        <v>73</v>
      </c>
      <c r="D13" t="s">
        <v>82</v>
      </c>
      <c r="E13" t="s">
        <v>20</v>
      </c>
      <c r="F13" t="s">
        <v>12</v>
      </c>
      <c r="G13">
        <v>60</v>
      </c>
      <c r="H13">
        <v>95</v>
      </c>
      <c r="I13">
        <v>39.5</v>
      </c>
      <c r="J13">
        <f t="shared" si="4"/>
        <v>20.5</v>
      </c>
      <c r="K13">
        <f t="shared" si="5"/>
        <v>55.5</v>
      </c>
      <c r="L13">
        <v>-35</v>
      </c>
      <c r="M13">
        <v>39.549999999999997</v>
      </c>
      <c r="N13" t="s">
        <v>169</v>
      </c>
      <c r="O13" t="s">
        <v>170</v>
      </c>
      <c r="P13" t="s">
        <v>13</v>
      </c>
      <c r="Q13">
        <v>0.8</v>
      </c>
      <c r="R13" t="s">
        <v>26</v>
      </c>
      <c r="S13" t="s">
        <v>15</v>
      </c>
      <c r="T13" t="s">
        <v>14</v>
      </c>
      <c r="U13">
        <v>2.5</v>
      </c>
      <c r="V13" t="s">
        <v>14</v>
      </c>
      <c r="W13">
        <f t="shared" si="6"/>
        <v>1</v>
      </c>
      <c r="X13" t="s">
        <v>17</v>
      </c>
      <c r="Y13" t="s">
        <v>14</v>
      </c>
      <c r="Z13">
        <v>0</v>
      </c>
      <c r="AA13">
        <f t="shared" si="0"/>
        <v>1846.3820251223683</v>
      </c>
      <c r="AB13">
        <f t="shared" si="1"/>
        <v>23.730612726307722</v>
      </c>
      <c r="AC13">
        <f t="shared" si="2"/>
        <v>10.850975998112872</v>
      </c>
      <c r="AD13" t="s">
        <v>15</v>
      </c>
      <c r="AE13" t="s">
        <v>37</v>
      </c>
      <c r="AF13" t="s">
        <v>18</v>
      </c>
      <c r="AG13" t="s">
        <v>14</v>
      </c>
      <c r="AH13" t="s">
        <v>17</v>
      </c>
      <c r="AI13" t="s">
        <v>14</v>
      </c>
      <c r="AJ13" t="s">
        <v>14</v>
      </c>
      <c r="AK13" t="s">
        <v>14</v>
      </c>
      <c r="AL13" t="s">
        <v>14</v>
      </c>
      <c r="AM13">
        <f t="shared" si="3"/>
        <v>45.725646123260432</v>
      </c>
      <c r="AN13">
        <f t="shared" si="7"/>
        <v>5083.1013916500988</v>
      </c>
      <c r="AO13">
        <f t="shared" si="8"/>
        <v>3077.1371769383695</v>
      </c>
      <c r="AP13">
        <f t="shared" si="9"/>
        <v>612.12723658051686</v>
      </c>
      <c r="AQ13">
        <f t="shared" si="10"/>
        <v>1244.5825049701789</v>
      </c>
      <c r="AR13">
        <f t="shared" si="11"/>
        <v>1393.8369781312126</v>
      </c>
      <c r="AS13">
        <f t="shared" si="12"/>
        <v>4.0278351123429852</v>
      </c>
      <c r="AT13">
        <f t="shared" si="13"/>
        <v>12.885533997759039</v>
      </c>
      <c r="AU13">
        <f t="shared" si="14"/>
        <v>8.2994367959949944</v>
      </c>
      <c r="AV13">
        <f t="shared" si="15"/>
        <v>24.48470744680851</v>
      </c>
      <c r="AW13">
        <f t="shared" si="16"/>
        <v>12.042396745932416</v>
      </c>
      <c r="AX13">
        <f t="shared" si="17"/>
        <v>27.420994993742177</v>
      </c>
      <c r="AY13">
        <f t="shared" si="18"/>
        <v>838.90821928400226</v>
      </c>
      <c r="AZ13">
        <f t="shared" si="19"/>
        <v>421.86878727634195</v>
      </c>
      <c r="BA13">
        <f t="shared" si="20"/>
        <v>54.29920477137177</v>
      </c>
      <c r="BB13" t="s">
        <v>16</v>
      </c>
      <c r="BC13" t="s">
        <v>16</v>
      </c>
      <c r="BD13">
        <v>169.57</v>
      </c>
      <c r="BE13">
        <v>40.24</v>
      </c>
      <c r="BF13">
        <v>18.399999999999999</v>
      </c>
      <c r="BG13">
        <v>21.85</v>
      </c>
      <c r="BH13">
        <v>6.83</v>
      </c>
      <c r="BI13">
        <v>313091</v>
      </c>
      <c r="BJ13">
        <v>123824</v>
      </c>
      <c r="BK13">
        <v>50082</v>
      </c>
      <c r="BL13">
        <v>5498</v>
      </c>
      <c r="BM13">
        <v>1616</v>
      </c>
      <c r="BN13">
        <v>16976</v>
      </c>
      <c r="BO13">
        <v>542</v>
      </c>
      <c r="BP13">
        <v>5006</v>
      </c>
      <c r="BQ13">
        <v>1000</v>
      </c>
      <c r="BR13">
        <v>108496</v>
      </c>
      <c r="BS13" t="s">
        <v>21</v>
      </c>
      <c r="BT13" t="s">
        <v>168</v>
      </c>
      <c r="BU13">
        <v>0</v>
      </c>
      <c r="BV13">
        <v>0.4</v>
      </c>
      <c r="BW13">
        <v>9.1</v>
      </c>
      <c r="BX13">
        <v>0.5</v>
      </c>
      <c r="BY13">
        <v>214</v>
      </c>
      <c r="BZ13">
        <v>240.1</v>
      </c>
      <c r="CA13">
        <v>1</v>
      </c>
      <c r="CB13">
        <v>1</v>
      </c>
      <c r="CC13">
        <v>0</v>
      </c>
      <c r="CD13">
        <f t="shared" si="21"/>
        <v>0.10870470637234486</v>
      </c>
      <c r="CE13">
        <v>1</v>
      </c>
    </row>
    <row r="14" spans="1:83" x14ac:dyDescent="0.4">
      <c r="A14" t="s">
        <v>961</v>
      </c>
      <c r="B14" t="s">
        <v>25</v>
      </c>
      <c r="C14" t="s">
        <v>82</v>
      </c>
      <c r="D14" t="s">
        <v>82</v>
      </c>
      <c r="E14" t="s">
        <v>20</v>
      </c>
      <c r="F14" t="s">
        <v>22</v>
      </c>
      <c r="G14">
        <v>90</v>
      </c>
      <c r="H14">
        <v>80</v>
      </c>
      <c r="I14">
        <v>69</v>
      </c>
      <c r="J14">
        <f t="shared" si="4"/>
        <v>21</v>
      </c>
      <c r="K14">
        <f t="shared" si="5"/>
        <v>11</v>
      </c>
      <c r="L14">
        <v>10</v>
      </c>
      <c r="M14">
        <v>68.97</v>
      </c>
      <c r="N14" t="s">
        <v>173</v>
      </c>
      <c r="O14" t="s">
        <v>174</v>
      </c>
      <c r="P14" t="s">
        <v>13</v>
      </c>
      <c r="Q14">
        <v>0.7</v>
      </c>
      <c r="R14" t="s">
        <v>38</v>
      </c>
      <c r="S14" t="s">
        <v>15</v>
      </c>
      <c r="T14" t="s">
        <v>17</v>
      </c>
      <c r="U14">
        <v>35</v>
      </c>
      <c r="V14" t="s">
        <v>17</v>
      </c>
      <c r="W14">
        <f t="shared" si="6"/>
        <v>1</v>
      </c>
      <c r="X14" t="s">
        <v>14</v>
      </c>
      <c r="Y14" t="s">
        <v>17</v>
      </c>
      <c r="Z14">
        <v>30</v>
      </c>
      <c r="AA14">
        <f t="shared" si="0"/>
        <v>6174.2154811715482</v>
      </c>
      <c r="AB14">
        <f t="shared" si="1"/>
        <v>83.838912133891213</v>
      </c>
      <c r="AC14">
        <f t="shared" si="2"/>
        <v>45.188284518828446</v>
      </c>
      <c r="AD14" t="s">
        <v>15</v>
      </c>
      <c r="AE14" t="s">
        <v>15</v>
      </c>
      <c r="AF14" t="s">
        <v>18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>
        <f t="shared" si="3"/>
        <v>53.898939488459135</v>
      </c>
      <c r="AN14">
        <f t="shared" si="7"/>
        <v>6806.9245165315033</v>
      </c>
      <c r="AO14">
        <f t="shared" si="8"/>
        <v>5079.5383655645664</v>
      </c>
      <c r="AP14">
        <f t="shared" si="9"/>
        <v>517.46724890829694</v>
      </c>
      <c r="AQ14">
        <f t="shared" si="10"/>
        <v>866.56269494697437</v>
      </c>
      <c r="AR14">
        <f t="shared" si="11"/>
        <v>1209.91890205864</v>
      </c>
      <c r="AS14">
        <f t="shared" si="12"/>
        <v>1.3075313807531379</v>
      </c>
      <c r="AT14">
        <f t="shared" si="13"/>
        <v>38.65062761506276</v>
      </c>
      <c r="AU14">
        <f t="shared" si="14"/>
        <v>4.2175686202630249</v>
      </c>
      <c r="AV14">
        <f t="shared" si="15"/>
        <v>12.730605324657471</v>
      </c>
      <c r="AW14">
        <f t="shared" si="16"/>
        <v>7.6020712092746185</v>
      </c>
      <c r="AX14">
        <f t="shared" si="17"/>
        <v>17.774824726206297</v>
      </c>
      <c r="AY14">
        <f t="shared" si="18"/>
        <v>2887.0550161812298</v>
      </c>
      <c r="AZ14">
        <f t="shared" si="19"/>
        <v>287.08671241422331</v>
      </c>
      <c r="BA14">
        <f t="shared" si="20"/>
        <v>46.101060511540858</v>
      </c>
      <c r="BB14" t="s">
        <v>39</v>
      </c>
      <c r="BC14" t="s">
        <v>39</v>
      </c>
      <c r="BD14">
        <v>19.12</v>
      </c>
      <c r="BE14">
        <v>16.03</v>
      </c>
      <c r="BF14">
        <v>8.64</v>
      </c>
      <c r="BG14">
        <v>7.39</v>
      </c>
      <c r="BH14">
        <v>0.25</v>
      </c>
      <c r="BI14">
        <v>118051</v>
      </c>
      <c r="BJ14">
        <v>81425</v>
      </c>
      <c r="BK14">
        <v>13891</v>
      </c>
      <c r="BL14">
        <v>719</v>
      </c>
      <c r="BM14">
        <v>536</v>
      </c>
      <c r="BN14">
        <v>4602</v>
      </c>
      <c r="BO14">
        <v>2438</v>
      </c>
      <c r="BP14">
        <v>2591</v>
      </c>
      <c r="BQ14">
        <v>2913</v>
      </c>
      <c r="BR14">
        <v>8921</v>
      </c>
      <c r="BS14" t="s">
        <v>21</v>
      </c>
      <c r="BT14" t="s">
        <v>172</v>
      </c>
      <c r="BU14">
        <v>0</v>
      </c>
      <c r="BV14">
        <v>0.6</v>
      </c>
      <c r="BW14">
        <v>0</v>
      </c>
      <c r="BX14">
        <v>20.5</v>
      </c>
      <c r="BY14">
        <v>21.6</v>
      </c>
      <c r="BZ14">
        <v>27.6</v>
      </c>
      <c r="CA14">
        <v>10</v>
      </c>
      <c r="CB14">
        <v>10</v>
      </c>
      <c r="CC14">
        <v>0</v>
      </c>
      <c r="CD14">
        <f t="shared" si="21"/>
        <v>0.21739130434782605</v>
      </c>
      <c r="CE14">
        <v>1</v>
      </c>
    </row>
    <row r="15" spans="1:83" x14ac:dyDescent="0.4">
      <c r="A15" t="s">
        <v>962</v>
      </c>
      <c r="B15" t="s">
        <v>19</v>
      </c>
      <c r="C15" t="s">
        <v>19</v>
      </c>
      <c r="D15" t="s">
        <v>19</v>
      </c>
      <c r="E15" t="s">
        <v>20</v>
      </c>
      <c r="F15" t="s">
        <v>22</v>
      </c>
      <c r="G15">
        <v>40</v>
      </c>
      <c r="H15">
        <v>55</v>
      </c>
      <c r="I15">
        <v>39.5</v>
      </c>
      <c r="J15">
        <f t="shared" si="4"/>
        <v>0.5</v>
      </c>
      <c r="K15">
        <f t="shared" si="5"/>
        <v>15.5</v>
      </c>
      <c r="L15">
        <v>-15</v>
      </c>
      <c r="M15">
        <v>39.44</v>
      </c>
      <c r="N15" t="s">
        <v>177</v>
      </c>
      <c r="O15" t="s">
        <v>178</v>
      </c>
      <c r="P15" t="s">
        <v>13</v>
      </c>
      <c r="Q15">
        <v>0.1</v>
      </c>
      <c r="R15" t="s">
        <v>13</v>
      </c>
      <c r="S15" t="s">
        <v>15</v>
      </c>
      <c r="T15" t="s">
        <v>14</v>
      </c>
      <c r="U15">
        <v>0</v>
      </c>
      <c r="V15" t="s">
        <v>14</v>
      </c>
      <c r="W15">
        <f t="shared" si="6"/>
        <v>0.75</v>
      </c>
      <c r="X15" t="s">
        <v>14</v>
      </c>
      <c r="Y15" t="s">
        <v>14</v>
      </c>
      <c r="Z15">
        <v>0</v>
      </c>
      <c r="AA15">
        <f t="shared" si="0"/>
        <v>3752.5242718446598</v>
      </c>
      <c r="AB15">
        <f t="shared" si="1"/>
        <v>64.757281553398059</v>
      </c>
      <c r="AC15">
        <f t="shared" si="2"/>
        <v>29.320388349514563</v>
      </c>
      <c r="AD15" t="s">
        <v>15</v>
      </c>
      <c r="AE15" t="s">
        <v>15</v>
      </c>
      <c r="AF15" t="s">
        <v>18</v>
      </c>
      <c r="AG15" t="s">
        <v>14</v>
      </c>
      <c r="AH15" t="s">
        <v>14</v>
      </c>
      <c r="AI15" t="s">
        <v>18</v>
      </c>
      <c r="AJ15" t="s">
        <v>14</v>
      </c>
      <c r="AK15" t="s">
        <v>14</v>
      </c>
      <c r="AL15" t="s">
        <v>17</v>
      </c>
      <c r="AM15">
        <f t="shared" si="3"/>
        <v>45.277361319340329</v>
      </c>
      <c r="AN15">
        <f t="shared" si="7"/>
        <v>4137.1814092953528</v>
      </c>
      <c r="AO15">
        <f t="shared" si="8"/>
        <v>2285.3073463268365</v>
      </c>
      <c r="AP15">
        <f t="shared" si="9"/>
        <v>1177.9610194902548</v>
      </c>
      <c r="AQ15">
        <f t="shared" si="10"/>
        <v>532.38380809595208</v>
      </c>
      <c r="AR15">
        <f t="shared" si="11"/>
        <v>673.91304347826087</v>
      </c>
      <c r="AS15">
        <f t="shared" si="12"/>
        <v>0.97087378640776689</v>
      </c>
      <c r="AT15">
        <f t="shared" si="13"/>
        <v>35.436893203883493</v>
      </c>
      <c r="AU15">
        <f t="shared" si="14"/>
        <v>17.021199492661715</v>
      </c>
      <c r="AV15">
        <f t="shared" si="15"/>
        <v>12.868273237905418</v>
      </c>
      <c r="AW15">
        <f t="shared" si="16"/>
        <v>28.472549374886754</v>
      </c>
      <c r="AX15">
        <f t="shared" si="17"/>
        <v>16.289182822975178</v>
      </c>
      <c r="AY15">
        <f t="shared" si="18"/>
        <v>3027.5482093663904</v>
      </c>
      <c r="AZ15">
        <f t="shared" si="19"/>
        <v>704.19790104947526</v>
      </c>
      <c r="BA15">
        <f t="shared" si="20"/>
        <v>54.722638680659671</v>
      </c>
      <c r="BB15" t="s">
        <v>28</v>
      </c>
      <c r="BC15" t="s">
        <v>30</v>
      </c>
      <c r="BD15">
        <v>10.3</v>
      </c>
      <c r="BE15">
        <v>6.67</v>
      </c>
      <c r="BF15">
        <v>3.02</v>
      </c>
      <c r="BG15">
        <v>3.65</v>
      </c>
      <c r="BH15">
        <v>0.1</v>
      </c>
      <c r="BI15">
        <v>38651</v>
      </c>
      <c r="BJ15">
        <v>15243</v>
      </c>
      <c r="BK15">
        <v>3551</v>
      </c>
      <c r="BL15">
        <v>2687</v>
      </c>
      <c r="BM15">
        <v>130</v>
      </c>
      <c r="BN15">
        <v>4697</v>
      </c>
      <c r="BO15">
        <v>343</v>
      </c>
      <c r="BP15">
        <v>663</v>
      </c>
      <c r="BQ15">
        <v>281</v>
      </c>
      <c r="BR15">
        <v>10990</v>
      </c>
      <c r="BS15" t="s">
        <v>21</v>
      </c>
      <c r="BT15" t="s">
        <v>176</v>
      </c>
      <c r="BU15">
        <v>0</v>
      </c>
      <c r="BV15">
        <v>0</v>
      </c>
      <c r="BW15">
        <v>0</v>
      </c>
      <c r="BX15">
        <v>0.1</v>
      </c>
      <c r="BY15">
        <v>10.6</v>
      </c>
      <c r="BZ15">
        <v>10.6</v>
      </c>
      <c r="CA15">
        <v>4</v>
      </c>
      <c r="CB15">
        <v>3</v>
      </c>
      <c r="CC15">
        <v>0</v>
      </c>
      <c r="CD15">
        <f t="shared" si="21"/>
        <v>0</v>
      </c>
      <c r="CE15">
        <v>0.75</v>
      </c>
    </row>
    <row r="16" spans="1:83" x14ac:dyDescent="0.4">
      <c r="A16" t="s">
        <v>963</v>
      </c>
      <c r="B16" t="s">
        <v>25</v>
      </c>
      <c r="C16" t="s">
        <v>82</v>
      </c>
      <c r="D16" t="s">
        <v>82</v>
      </c>
      <c r="E16" t="s">
        <v>20</v>
      </c>
      <c r="F16" t="s">
        <v>22</v>
      </c>
      <c r="G16">
        <v>90</v>
      </c>
      <c r="H16">
        <v>66</v>
      </c>
      <c r="I16">
        <v>71</v>
      </c>
      <c r="J16">
        <f t="shared" si="4"/>
        <v>19</v>
      </c>
      <c r="K16">
        <f t="shared" si="5"/>
        <v>-5</v>
      </c>
      <c r="L16">
        <v>24</v>
      </c>
      <c r="M16">
        <v>71.06</v>
      </c>
      <c r="N16" t="s">
        <v>180</v>
      </c>
      <c r="O16" t="s">
        <v>181</v>
      </c>
      <c r="P16" t="s">
        <v>13</v>
      </c>
      <c r="Q16">
        <v>0.2</v>
      </c>
      <c r="R16" t="s">
        <v>26</v>
      </c>
      <c r="S16" t="s">
        <v>15</v>
      </c>
      <c r="T16" t="s">
        <v>14</v>
      </c>
      <c r="U16">
        <v>2.5</v>
      </c>
      <c r="V16" t="s">
        <v>14</v>
      </c>
      <c r="W16">
        <f t="shared" si="6"/>
        <v>1</v>
      </c>
      <c r="X16" t="s">
        <v>14</v>
      </c>
      <c r="Y16" t="s">
        <v>14</v>
      </c>
      <c r="Z16">
        <v>0</v>
      </c>
      <c r="AA16">
        <f t="shared" si="0"/>
        <v>4041.41677531508</v>
      </c>
      <c r="AB16">
        <f t="shared" si="1"/>
        <v>54.06345067362016</v>
      </c>
      <c r="AC16">
        <f t="shared" si="2"/>
        <v>35.419382877009994</v>
      </c>
      <c r="AD16" t="s">
        <v>15</v>
      </c>
      <c r="AE16" t="s">
        <v>15</v>
      </c>
      <c r="AF16" t="s">
        <v>18</v>
      </c>
      <c r="AG16" t="s">
        <v>14</v>
      </c>
      <c r="AH16" t="s">
        <v>14</v>
      </c>
      <c r="AI16" t="s">
        <v>14</v>
      </c>
      <c r="AJ16" t="s">
        <v>14</v>
      </c>
      <c r="AK16" t="s">
        <v>14</v>
      </c>
      <c r="AL16" t="s">
        <v>14</v>
      </c>
      <c r="AM16">
        <f t="shared" si="3"/>
        <v>65.514469453376208</v>
      </c>
      <c r="AN16">
        <f t="shared" si="7"/>
        <v>6370.8199356913183</v>
      </c>
      <c r="AO16">
        <f t="shared" si="8"/>
        <v>5312.057877813505</v>
      </c>
      <c r="AP16">
        <f t="shared" si="9"/>
        <v>236.49517684887462</v>
      </c>
      <c r="AQ16">
        <f t="shared" si="10"/>
        <v>683.36012861736333</v>
      </c>
      <c r="AR16">
        <f t="shared" si="11"/>
        <v>822.26688102893888</v>
      </c>
      <c r="AS16">
        <f t="shared" si="12"/>
        <v>1.1299435028248588</v>
      </c>
      <c r="AT16">
        <f t="shared" si="13"/>
        <v>18.64406779661017</v>
      </c>
      <c r="AU16">
        <f t="shared" si="14"/>
        <v>2.7065221505810504</v>
      </c>
      <c r="AV16">
        <f t="shared" si="15"/>
        <v>10.726407833141963</v>
      </c>
      <c r="AW16">
        <f t="shared" si="16"/>
        <v>3.7121623156221215</v>
      </c>
      <c r="AX16">
        <f t="shared" si="17"/>
        <v>12.906766936267397</v>
      </c>
      <c r="AY16">
        <f t="shared" si="18"/>
        <v>1298.770104068117</v>
      </c>
      <c r="AZ16">
        <f t="shared" si="19"/>
        <v>172.42765273311898</v>
      </c>
      <c r="BA16">
        <f t="shared" si="20"/>
        <v>34.485530546623792</v>
      </c>
      <c r="BB16" t="s">
        <v>40</v>
      </c>
      <c r="BC16" t="s">
        <v>40</v>
      </c>
      <c r="BD16">
        <v>23.01</v>
      </c>
      <c r="BE16">
        <v>12.44</v>
      </c>
      <c r="BF16">
        <v>8.15</v>
      </c>
      <c r="BG16">
        <v>4.29</v>
      </c>
      <c r="BH16">
        <v>0.26</v>
      </c>
      <c r="BI16">
        <v>92993</v>
      </c>
      <c r="BJ16">
        <v>66082</v>
      </c>
      <c r="BK16">
        <v>8501</v>
      </c>
      <c r="BL16">
        <v>523</v>
      </c>
      <c r="BM16">
        <v>83</v>
      </c>
      <c r="BN16">
        <v>2145</v>
      </c>
      <c r="BO16">
        <v>191</v>
      </c>
      <c r="BP16">
        <v>1445</v>
      </c>
      <c r="BQ16">
        <v>283</v>
      </c>
      <c r="BR16">
        <v>13728</v>
      </c>
      <c r="BS16" t="s">
        <v>21</v>
      </c>
      <c r="BT16" t="s">
        <v>179</v>
      </c>
      <c r="BU16">
        <v>0</v>
      </c>
      <c r="BV16">
        <v>0</v>
      </c>
      <c r="BW16">
        <v>0.5</v>
      </c>
      <c r="BX16">
        <v>0.1</v>
      </c>
      <c r="BY16">
        <v>24.5</v>
      </c>
      <c r="BZ16">
        <v>24.6</v>
      </c>
      <c r="CA16">
        <v>6</v>
      </c>
      <c r="CB16">
        <v>6</v>
      </c>
      <c r="CC16">
        <v>0</v>
      </c>
      <c r="CD16">
        <f t="shared" si="21"/>
        <v>4.0650406504065817E-3</v>
      </c>
      <c r="CE16">
        <v>1</v>
      </c>
    </row>
    <row r="17" spans="1:83" x14ac:dyDescent="0.4">
      <c r="A17" t="s">
        <v>964</v>
      </c>
      <c r="B17" t="s">
        <v>25</v>
      </c>
      <c r="C17" t="s">
        <v>82</v>
      </c>
      <c r="D17" t="s">
        <v>82</v>
      </c>
      <c r="E17" t="s">
        <v>20</v>
      </c>
      <c r="F17" t="s">
        <v>22</v>
      </c>
      <c r="G17">
        <v>70</v>
      </c>
      <c r="H17">
        <v>25</v>
      </c>
      <c r="I17">
        <v>38.5</v>
      </c>
      <c r="J17">
        <f t="shared" si="4"/>
        <v>31.5</v>
      </c>
      <c r="K17">
        <f t="shared" si="5"/>
        <v>-13.5</v>
      </c>
      <c r="L17">
        <v>45</v>
      </c>
      <c r="M17">
        <v>38.340000000000003</v>
      </c>
      <c r="N17" t="s">
        <v>182</v>
      </c>
      <c r="O17" t="s">
        <v>183</v>
      </c>
      <c r="P17" t="s">
        <v>13</v>
      </c>
      <c r="Q17">
        <v>0.4</v>
      </c>
      <c r="R17" t="s">
        <v>26</v>
      </c>
      <c r="S17" t="s">
        <v>15</v>
      </c>
      <c r="T17" t="s">
        <v>14</v>
      </c>
      <c r="U17">
        <v>5</v>
      </c>
      <c r="V17" t="s">
        <v>14</v>
      </c>
      <c r="W17">
        <f t="shared" si="6"/>
        <v>0.83333333333333337</v>
      </c>
      <c r="X17" t="s">
        <v>14</v>
      </c>
      <c r="Y17" t="s">
        <v>14</v>
      </c>
      <c r="Z17">
        <v>0</v>
      </c>
      <c r="AA17">
        <f t="shared" si="0"/>
        <v>5056.8117580553981</v>
      </c>
      <c r="AB17">
        <f t="shared" si="1"/>
        <v>78.462408140192196</v>
      </c>
      <c r="AC17">
        <f t="shared" si="2"/>
        <v>35.556811758055396</v>
      </c>
      <c r="AD17" t="s">
        <v>15</v>
      </c>
      <c r="AE17" t="s">
        <v>15</v>
      </c>
      <c r="AF17" t="s">
        <v>18</v>
      </c>
      <c r="AG17" t="s">
        <v>14</v>
      </c>
      <c r="AH17" t="s">
        <v>14</v>
      </c>
      <c r="AI17" t="s">
        <v>41</v>
      </c>
      <c r="AJ17" t="s">
        <v>14</v>
      </c>
      <c r="AK17" t="s">
        <v>14</v>
      </c>
      <c r="AL17" t="s">
        <v>17</v>
      </c>
      <c r="AM17">
        <f t="shared" si="3"/>
        <v>45.317002881844381</v>
      </c>
      <c r="AN17">
        <f t="shared" si="7"/>
        <v>6096.9020172910659</v>
      </c>
      <c r="AO17">
        <f t="shared" si="8"/>
        <v>2470.821325648415</v>
      </c>
      <c r="AP17">
        <f t="shared" si="9"/>
        <v>1831.2680115273774</v>
      </c>
      <c r="AQ17">
        <f t="shared" si="10"/>
        <v>1628.0979827089336</v>
      </c>
      <c r="AR17">
        <f t="shared" si="11"/>
        <v>1794.8126801152737</v>
      </c>
      <c r="AS17">
        <f t="shared" si="12"/>
        <v>0.11305822498586772</v>
      </c>
      <c r="AT17">
        <f t="shared" si="13"/>
        <v>42.9055963821368</v>
      </c>
      <c r="AU17">
        <f t="shared" si="14"/>
        <v>24.200886262924669</v>
      </c>
      <c r="AV17">
        <f t="shared" si="15"/>
        <v>26.703692762186115</v>
      </c>
      <c r="AW17">
        <f t="shared" si="16"/>
        <v>30.036041358936483</v>
      </c>
      <c r="AX17">
        <f t="shared" si="17"/>
        <v>29.438109305760708</v>
      </c>
      <c r="AY17">
        <f t="shared" si="18"/>
        <v>1256.1679790026244</v>
      </c>
      <c r="AZ17">
        <f t="shared" si="19"/>
        <v>1475.5043227665706</v>
      </c>
      <c r="BA17">
        <f t="shared" si="20"/>
        <v>54.682997118155619</v>
      </c>
      <c r="BB17" t="s">
        <v>40</v>
      </c>
      <c r="BC17" t="s">
        <v>29</v>
      </c>
      <c r="BD17">
        <v>17.690000000000001</v>
      </c>
      <c r="BE17">
        <v>13.88</v>
      </c>
      <c r="BF17">
        <v>6.29</v>
      </c>
      <c r="BG17">
        <v>7.59</v>
      </c>
      <c r="BH17">
        <v>0.02</v>
      </c>
      <c r="BI17">
        <v>89455</v>
      </c>
      <c r="BJ17">
        <v>34295</v>
      </c>
      <c r="BK17">
        <v>22598</v>
      </c>
      <c r="BL17">
        <v>2585</v>
      </c>
      <c r="BM17">
        <v>1980</v>
      </c>
      <c r="BN17">
        <v>20480</v>
      </c>
      <c r="BO17">
        <v>373</v>
      </c>
      <c r="BP17">
        <v>2101</v>
      </c>
      <c r="BQ17">
        <v>213</v>
      </c>
      <c r="BR17">
        <v>4786</v>
      </c>
      <c r="BS17" t="s">
        <v>21</v>
      </c>
      <c r="BT17" t="s">
        <v>130</v>
      </c>
      <c r="BU17">
        <v>0</v>
      </c>
      <c r="BV17">
        <v>0</v>
      </c>
      <c r="BW17">
        <v>0</v>
      </c>
      <c r="BX17">
        <v>1.1000000000000001</v>
      </c>
      <c r="BY17">
        <v>19.7</v>
      </c>
      <c r="BZ17">
        <v>20</v>
      </c>
      <c r="CA17">
        <v>6</v>
      </c>
      <c r="CB17">
        <v>5</v>
      </c>
      <c r="CC17">
        <v>0</v>
      </c>
      <c r="CD17">
        <f t="shared" si="21"/>
        <v>1.5000000000000013E-2</v>
      </c>
      <c r="CE17">
        <v>0.83333333333333337</v>
      </c>
    </row>
    <row r="18" spans="1:83" x14ac:dyDescent="0.4">
      <c r="A18" t="s">
        <v>965</v>
      </c>
      <c r="B18" t="s">
        <v>42</v>
      </c>
      <c r="C18" t="s">
        <v>82</v>
      </c>
      <c r="D18" t="s">
        <v>82</v>
      </c>
      <c r="E18" t="s">
        <v>20</v>
      </c>
      <c r="F18" t="s">
        <v>22</v>
      </c>
      <c r="G18">
        <v>60</v>
      </c>
      <c r="H18">
        <v>73</v>
      </c>
      <c r="I18">
        <v>85.5</v>
      </c>
      <c r="J18">
        <f t="shared" si="4"/>
        <v>-25.5</v>
      </c>
      <c r="K18">
        <f t="shared" si="5"/>
        <v>-12.5</v>
      </c>
      <c r="L18">
        <v>-13</v>
      </c>
      <c r="M18">
        <v>85.45</v>
      </c>
      <c r="N18" t="s">
        <v>185</v>
      </c>
      <c r="O18" t="s">
        <v>186</v>
      </c>
      <c r="P18" t="s">
        <v>13</v>
      </c>
      <c r="Q18">
        <v>0</v>
      </c>
      <c r="R18" t="s">
        <v>13</v>
      </c>
      <c r="S18" t="s">
        <v>15</v>
      </c>
      <c r="T18" t="s">
        <v>14</v>
      </c>
      <c r="U18">
        <v>2.5</v>
      </c>
      <c r="V18" t="s">
        <v>14</v>
      </c>
      <c r="W18">
        <f t="shared" si="6"/>
        <v>1</v>
      </c>
      <c r="X18" t="s">
        <v>14</v>
      </c>
      <c r="Y18" t="s">
        <v>17</v>
      </c>
      <c r="Z18">
        <v>0</v>
      </c>
      <c r="AA18">
        <f t="shared" si="0"/>
        <v>4418.5238784370476</v>
      </c>
      <c r="AB18">
        <f t="shared" si="1"/>
        <v>79.956584659913162</v>
      </c>
      <c r="AC18">
        <f t="shared" si="2"/>
        <v>64.978292329956588</v>
      </c>
      <c r="AD18" t="s">
        <v>27</v>
      </c>
      <c r="AE18" t="s">
        <v>27</v>
      </c>
      <c r="AF18" t="s">
        <v>18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>
        <f t="shared" si="3"/>
        <v>81.266968325791851</v>
      </c>
      <c r="AN18">
        <f t="shared" si="7"/>
        <v>5457.8280542986422</v>
      </c>
      <c r="AO18">
        <f t="shared" si="8"/>
        <v>4722.3529411764703</v>
      </c>
      <c r="AP18">
        <f t="shared" si="9"/>
        <v>460.63348416289591</v>
      </c>
      <c r="AQ18">
        <f t="shared" si="10"/>
        <v>180.27149321266967</v>
      </c>
      <c r="AR18">
        <f t="shared" si="11"/>
        <v>274.84162895927602</v>
      </c>
      <c r="AS18">
        <f t="shared" si="12"/>
        <v>16.570188133140377</v>
      </c>
      <c r="AT18">
        <f t="shared" si="13"/>
        <v>14.978292329956583</v>
      </c>
      <c r="AU18">
        <f t="shared" si="14"/>
        <v>4.8168598384983996</v>
      </c>
      <c r="AV18">
        <f t="shared" si="15"/>
        <v>3.3029896035417599</v>
      </c>
      <c r="AW18">
        <f t="shared" si="16"/>
        <v>8.4398680130660431</v>
      </c>
      <c r="AX18">
        <f t="shared" si="17"/>
        <v>5.0357326435523717</v>
      </c>
      <c r="AY18">
        <f t="shared" si="18"/>
        <v>270.39711191335743</v>
      </c>
      <c r="AZ18">
        <f t="shared" si="19"/>
        <v>262.89592760180994</v>
      </c>
      <c r="BA18">
        <f t="shared" si="20"/>
        <v>18.733031674208142</v>
      </c>
      <c r="BB18" t="s">
        <v>39</v>
      </c>
      <c r="BC18" t="s">
        <v>39</v>
      </c>
      <c r="BD18">
        <v>13.82</v>
      </c>
      <c r="BE18">
        <v>11.05</v>
      </c>
      <c r="BF18">
        <v>8.98</v>
      </c>
      <c r="BG18">
        <v>2.0699999999999998</v>
      </c>
      <c r="BH18">
        <v>2.29</v>
      </c>
      <c r="BI18">
        <v>61064</v>
      </c>
      <c r="BJ18">
        <v>52182</v>
      </c>
      <c r="BK18">
        <v>1992</v>
      </c>
      <c r="BL18">
        <v>1411</v>
      </c>
      <c r="BM18">
        <v>95</v>
      </c>
      <c r="BN18">
        <v>2905</v>
      </c>
      <c r="BO18">
        <v>679</v>
      </c>
      <c r="BP18">
        <v>509</v>
      </c>
      <c r="BQ18">
        <v>536</v>
      </c>
      <c r="BR18">
        <v>749</v>
      </c>
      <c r="BS18" t="s">
        <v>21</v>
      </c>
      <c r="BT18" t="s">
        <v>184</v>
      </c>
      <c r="BU18">
        <v>0</v>
      </c>
      <c r="BV18">
        <v>0.1</v>
      </c>
      <c r="BW18">
        <v>0</v>
      </c>
      <c r="BX18">
        <v>0</v>
      </c>
      <c r="BY18">
        <v>14.8</v>
      </c>
      <c r="BZ18">
        <v>14.8</v>
      </c>
      <c r="CA18">
        <v>10</v>
      </c>
      <c r="CB18">
        <v>10</v>
      </c>
      <c r="CC18">
        <v>0</v>
      </c>
      <c r="CD18">
        <f t="shared" si="21"/>
        <v>0</v>
      </c>
      <c r="CE18">
        <v>1</v>
      </c>
    </row>
    <row r="19" spans="1:83" x14ac:dyDescent="0.4">
      <c r="A19" t="s">
        <v>966</v>
      </c>
      <c r="B19" t="s">
        <v>20</v>
      </c>
      <c r="C19" t="s">
        <v>73</v>
      </c>
      <c r="D19" t="s">
        <v>82</v>
      </c>
      <c r="E19" t="s">
        <v>20</v>
      </c>
      <c r="F19" t="s">
        <v>22</v>
      </c>
      <c r="G19">
        <v>50</v>
      </c>
      <c r="H19">
        <v>53</v>
      </c>
      <c r="I19">
        <v>43.5</v>
      </c>
      <c r="J19">
        <f t="shared" si="4"/>
        <v>6.5</v>
      </c>
      <c r="K19">
        <f t="shared" si="5"/>
        <v>9.5</v>
      </c>
      <c r="L19">
        <v>-3</v>
      </c>
      <c r="M19">
        <v>43.55</v>
      </c>
      <c r="N19" t="s">
        <v>189</v>
      </c>
      <c r="O19" t="s">
        <v>190</v>
      </c>
      <c r="P19" t="s">
        <v>13</v>
      </c>
      <c r="Q19">
        <v>0.9</v>
      </c>
      <c r="R19" t="s">
        <v>13</v>
      </c>
      <c r="S19" t="s">
        <v>35</v>
      </c>
      <c r="T19" t="s">
        <v>14</v>
      </c>
      <c r="U19">
        <v>2.5</v>
      </c>
      <c r="V19" t="s">
        <v>14</v>
      </c>
      <c r="W19">
        <f t="shared" si="6"/>
        <v>0.66666666666666663</v>
      </c>
      <c r="X19" t="s">
        <v>14</v>
      </c>
      <c r="Y19" t="s">
        <v>14</v>
      </c>
      <c r="Z19">
        <v>0</v>
      </c>
      <c r="AA19">
        <f t="shared" si="0"/>
        <v>1377.1079429735234</v>
      </c>
      <c r="AB19">
        <f t="shared" si="1"/>
        <v>56.619144602851321</v>
      </c>
      <c r="AC19">
        <f t="shared" si="2"/>
        <v>11.120162932790224</v>
      </c>
      <c r="AD19" t="s">
        <v>15</v>
      </c>
      <c r="AE19" t="s">
        <v>27</v>
      </c>
      <c r="AF19" t="s">
        <v>24</v>
      </c>
      <c r="AG19" t="s">
        <v>14</v>
      </c>
      <c r="AH19" t="s">
        <v>14</v>
      </c>
      <c r="AI19" t="s">
        <v>14</v>
      </c>
      <c r="AJ19" t="s">
        <v>14</v>
      </c>
      <c r="AK19" t="s">
        <v>14</v>
      </c>
      <c r="AL19" t="s">
        <v>14</v>
      </c>
      <c r="AM19">
        <f t="shared" si="3"/>
        <v>19.640287769784173</v>
      </c>
      <c r="AN19">
        <f t="shared" si="7"/>
        <v>2122.9496402877699</v>
      </c>
      <c r="AO19">
        <f t="shared" si="8"/>
        <v>1059.1366906474821</v>
      </c>
      <c r="AP19">
        <f t="shared" si="9"/>
        <v>123.3093525179856</v>
      </c>
      <c r="AQ19">
        <f t="shared" si="10"/>
        <v>863.16546762589928</v>
      </c>
      <c r="AR19">
        <f t="shared" si="11"/>
        <v>940.50359712230215</v>
      </c>
      <c r="AS19">
        <f t="shared" si="12"/>
        <v>11.731160896130346</v>
      </c>
      <c r="AT19">
        <f t="shared" si="13"/>
        <v>45.498981670061099</v>
      </c>
      <c r="AU19">
        <f t="shared" si="14"/>
        <v>3.0634721610356164</v>
      </c>
      <c r="AV19">
        <f t="shared" si="15"/>
        <v>40.658782066488193</v>
      </c>
      <c r="AW19">
        <f t="shared" si="16"/>
        <v>5.8083974380697416</v>
      </c>
      <c r="AX19">
        <f t="shared" si="17"/>
        <v>44.301738452675458</v>
      </c>
      <c r="AY19">
        <f t="shared" si="18"/>
        <v>401.78403755868544</v>
      </c>
      <c r="AZ19">
        <f t="shared" si="19"/>
        <v>65.035971223021576</v>
      </c>
      <c r="BA19">
        <f t="shared" si="20"/>
        <v>80.35971223021582</v>
      </c>
      <c r="BB19" t="s">
        <v>30</v>
      </c>
      <c r="BC19" t="s">
        <v>31</v>
      </c>
      <c r="BD19">
        <v>24.55</v>
      </c>
      <c r="BE19">
        <v>13.9</v>
      </c>
      <c r="BF19">
        <v>2.73</v>
      </c>
      <c r="BG19">
        <v>11.17</v>
      </c>
      <c r="BH19">
        <v>2.88</v>
      </c>
      <c r="BI19">
        <v>33808</v>
      </c>
      <c r="BJ19">
        <v>14722</v>
      </c>
      <c r="BK19">
        <v>11998</v>
      </c>
      <c r="BL19">
        <v>507</v>
      </c>
      <c r="BM19">
        <v>72</v>
      </c>
      <c r="BN19">
        <v>904</v>
      </c>
      <c r="BO19">
        <v>231</v>
      </c>
      <c r="BP19">
        <v>795</v>
      </c>
      <c r="BQ19">
        <v>280</v>
      </c>
      <c r="BR19">
        <v>4279</v>
      </c>
      <c r="BS19" t="s">
        <v>21</v>
      </c>
      <c r="BT19" t="s">
        <v>188</v>
      </c>
      <c r="BU19">
        <v>0</v>
      </c>
      <c r="BV19">
        <v>1.4</v>
      </c>
      <c r="BW19">
        <v>3.9</v>
      </c>
      <c r="BX19">
        <v>0.1</v>
      </c>
      <c r="BY19">
        <v>32.200000000000003</v>
      </c>
      <c r="BZ19">
        <v>34.4</v>
      </c>
      <c r="CA19">
        <v>3</v>
      </c>
      <c r="CB19">
        <v>2</v>
      </c>
      <c r="CC19">
        <v>0</v>
      </c>
      <c r="CD19">
        <f t="shared" si="21"/>
        <v>6.3953488372092915E-2</v>
      </c>
      <c r="CE19">
        <v>0.66666666666666663</v>
      </c>
    </row>
    <row r="20" spans="1:83" x14ac:dyDescent="0.4">
      <c r="A20" t="s">
        <v>967</v>
      </c>
      <c r="B20" t="s">
        <v>20</v>
      </c>
      <c r="C20" t="s">
        <v>73</v>
      </c>
      <c r="D20" t="s">
        <v>82</v>
      </c>
      <c r="E20" t="s">
        <v>20</v>
      </c>
      <c r="F20" t="s">
        <v>22</v>
      </c>
      <c r="G20">
        <v>30</v>
      </c>
      <c r="H20">
        <v>52</v>
      </c>
      <c r="I20">
        <v>48</v>
      </c>
      <c r="J20">
        <f t="shared" si="4"/>
        <v>-18</v>
      </c>
      <c r="K20">
        <f t="shared" si="5"/>
        <v>4</v>
      </c>
      <c r="L20">
        <v>-22</v>
      </c>
      <c r="M20">
        <v>48.19</v>
      </c>
      <c r="N20" t="s">
        <v>192</v>
      </c>
      <c r="O20" t="s">
        <v>193</v>
      </c>
      <c r="P20" t="s">
        <v>13</v>
      </c>
      <c r="Q20">
        <v>0.2</v>
      </c>
      <c r="R20" t="s">
        <v>13</v>
      </c>
      <c r="S20" t="s">
        <v>15</v>
      </c>
      <c r="T20" t="s">
        <v>14</v>
      </c>
      <c r="U20">
        <v>2.5</v>
      </c>
      <c r="V20" t="s">
        <v>14</v>
      </c>
      <c r="W20">
        <f t="shared" si="6"/>
        <v>0.8</v>
      </c>
      <c r="X20" t="s">
        <v>14</v>
      </c>
      <c r="Y20" t="s">
        <v>14</v>
      </c>
      <c r="Z20">
        <v>0</v>
      </c>
      <c r="AA20">
        <f t="shared" si="0"/>
        <v>3374.8845798707293</v>
      </c>
      <c r="AB20">
        <f t="shared" si="1"/>
        <v>57.063711911357338</v>
      </c>
      <c r="AC20">
        <f t="shared" si="2"/>
        <v>32.132963988919663</v>
      </c>
      <c r="AD20" t="s">
        <v>15</v>
      </c>
      <c r="AE20" t="s">
        <v>27</v>
      </c>
      <c r="AF20" t="s">
        <v>18</v>
      </c>
      <c r="AG20" t="s">
        <v>14</v>
      </c>
      <c r="AH20" t="s">
        <v>14</v>
      </c>
      <c r="AI20" t="s">
        <v>18</v>
      </c>
      <c r="AJ20" t="s">
        <v>14</v>
      </c>
      <c r="AK20" t="s">
        <v>14</v>
      </c>
      <c r="AL20" t="s">
        <v>14</v>
      </c>
      <c r="AM20">
        <f t="shared" si="3"/>
        <v>56.310679611650485</v>
      </c>
      <c r="AN20">
        <f t="shared" si="7"/>
        <v>4741.9633225458474</v>
      </c>
      <c r="AO20">
        <f t="shared" si="8"/>
        <v>2849.9460625674219</v>
      </c>
      <c r="AP20">
        <f t="shared" si="9"/>
        <v>820.98166127292347</v>
      </c>
      <c r="AQ20">
        <f t="shared" si="10"/>
        <v>999.94606256742179</v>
      </c>
      <c r="AR20">
        <f t="shared" si="11"/>
        <v>1071.0355987055016</v>
      </c>
      <c r="AS20">
        <f t="shared" si="12"/>
        <v>1.4465989535241612</v>
      </c>
      <c r="AT20">
        <f t="shared" si="13"/>
        <v>24.930747922437671</v>
      </c>
      <c r="AU20">
        <f t="shared" si="14"/>
        <v>11.9159197415715</v>
      </c>
      <c r="AV20">
        <f t="shared" si="15"/>
        <v>21.087174120751627</v>
      </c>
      <c r="AW20">
        <f t="shared" si="16"/>
        <v>17.313117066290552</v>
      </c>
      <c r="AX20">
        <f t="shared" si="17"/>
        <v>22.586332408207834</v>
      </c>
      <c r="AY20">
        <f t="shared" si="18"/>
        <v>1552.9032258064512</v>
      </c>
      <c r="AZ20">
        <f t="shared" si="19"/>
        <v>565.04854368932047</v>
      </c>
      <c r="BA20">
        <f t="shared" si="20"/>
        <v>43.689320388349515</v>
      </c>
      <c r="BB20" t="s">
        <v>29</v>
      </c>
      <c r="BC20" t="s">
        <v>28</v>
      </c>
      <c r="BD20">
        <v>32.49</v>
      </c>
      <c r="BE20">
        <v>18.54</v>
      </c>
      <c r="BF20">
        <v>10.44</v>
      </c>
      <c r="BG20">
        <v>8.1</v>
      </c>
      <c r="BH20">
        <v>0.47</v>
      </c>
      <c r="BI20">
        <v>109650</v>
      </c>
      <c r="BJ20">
        <v>52838</v>
      </c>
      <c r="BK20">
        <v>18539</v>
      </c>
      <c r="BL20">
        <v>2504</v>
      </c>
      <c r="BM20">
        <v>1381</v>
      </c>
      <c r="BN20">
        <v>10476</v>
      </c>
      <c r="BO20">
        <v>860</v>
      </c>
      <c r="BP20">
        <v>1166</v>
      </c>
      <c r="BQ20">
        <v>152</v>
      </c>
      <c r="BR20">
        <v>21663</v>
      </c>
      <c r="BS20" t="s">
        <v>21</v>
      </c>
      <c r="BT20" t="s">
        <v>191</v>
      </c>
      <c r="BU20">
        <v>0</v>
      </c>
      <c r="BV20">
        <v>0.1</v>
      </c>
      <c r="BW20">
        <v>0</v>
      </c>
      <c r="BX20">
        <v>0.1</v>
      </c>
      <c r="BY20">
        <v>35.799999999999997</v>
      </c>
      <c r="BZ20">
        <v>36</v>
      </c>
      <c r="CA20">
        <v>5</v>
      </c>
      <c r="CB20">
        <v>4</v>
      </c>
      <c r="CC20">
        <v>0</v>
      </c>
      <c r="CD20">
        <f t="shared" si="21"/>
        <v>5.5555555555556468E-3</v>
      </c>
      <c r="CE20">
        <v>0.8</v>
      </c>
    </row>
    <row r="21" spans="1:83" x14ac:dyDescent="0.4">
      <c r="A21" t="s">
        <v>968</v>
      </c>
      <c r="B21" t="s">
        <v>19</v>
      </c>
      <c r="C21" t="s">
        <v>19</v>
      </c>
      <c r="D21" t="s">
        <v>19</v>
      </c>
      <c r="E21" t="s">
        <v>20</v>
      </c>
      <c r="F21" t="s">
        <v>22</v>
      </c>
      <c r="G21">
        <v>60</v>
      </c>
      <c r="H21">
        <v>52</v>
      </c>
      <c r="I21">
        <v>56.5</v>
      </c>
      <c r="J21">
        <f t="shared" si="4"/>
        <v>3.5</v>
      </c>
      <c r="K21">
        <f t="shared" si="5"/>
        <v>-4.5</v>
      </c>
      <c r="L21">
        <v>8</v>
      </c>
      <c r="M21">
        <v>56.3</v>
      </c>
      <c r="N21" t="s">
        <v>196</v>
      </c>
      <c r="O21" t="s">
        <v>197</v>
      </c>
      <c r="P21" t="s">
        <v>13</v>
      </c>
      <c r="Q21">
        <v>0.7</v>
      </c>
      <c r="R21" t="s">
        <v>26</v>
      </c>
      <c r="S21" t="s">
        <v>15</v>
      </c>
      <c r="T21" t="s">
        <v>17</v>
      </c>
      <c r="U21">
        <v>27.5</v>
      </c>
      <c r="V21" t="s">
        <v>17</v>
      </c>
      <c r="W21">
        <f t="shared" si="6"/>
        <v>1</v>
      </c>
      <c r="X21" t="s">
        <v>14</v>
      </c>
      <c r="Y21" t="s">
        <v>14</v>
      </c>
      <c r="Z21">
        <v>0</v>
      </c>
      <c r="AA21">
        <f t="shared" si="0"/>
        <v>4503.3033033033034</v>
      </c>
      <c r="AB21">
        <f t="shared" si="1"/>
        <v>83.033033033033036</v>
      </c>
      <c r="AC21">
        <f t="shared" si="2"/>
        <v>28.678678678678679</v>
      </c>
      <c r="AD21" t="s">
        <v>15</v>
      </c>
      <c r="AE21" t="s">
        <v>37</v>
      </c>
      <c r="AF21" t="s">
        <v>24</v>
      </c>
      <c r="AG21" t="s">
        <v>14</v>
      </c>
      <c r="AH21" t="s">
        <v>14</v>
      </c>
      <c r="AI21" t="s">
        <v>14</v>
      </c>
      <c r="AJ21" t="s">
        <v>14</v>
      </c>
      <c r="AK21" t="s">
        <v>14</v>
      </c>
      <c r="AL21" t="s">
        <v>17</v>
      </c>
      <c r="AM21">
        <f t="shared" si="3"/>
        <v>34.538878842676311</v>
      </c>
      <c r="AN21">
        <f t="shared" si="7"/>
        <v>5180.2893309222418</v>
      </c>
      <c r="AO21">
        <f t="shared" si="8"/>
        <v>3053.164556962025</v>
      </c>
      <c r="AP21">
        <f t="shared" si="9"/>
        <v>529.11392405063293</v>
      </c>
      <c r="AQ21">
        <f t="shared" si="10"/>
        <v>1157.50452079566</v>
      </c>
      <c r="AR21">
        <f t="shared" si="11"/>
        <v>1598.0108499095841</v>
      </c>
      <c r="AS21">
        <f t="shared" si="12"/>
        <v>10.21021021021021</v>
      </c>
      <c r="AT21">
        <f t="shared" si="13"/>
        <v>54.354354354354356</v>
      </c>
      <c r="AU21">
        <f t="shared" si="14"/>
        <v>6.9710615422208262</v>
      </c>
      <c r="AV21">
        <f t="shared" si="15"/>
        <v>22.344399064474466</v>
      </c>
      <c r="AW21">
        <f t="shared" si="16"/>
        <v>10.213984012287499</v>
      </c>
      <c r="AX21">
        <f t="shared" si="17"/>
        <v>30.847907285230566</v>
      </c>
      <c r="AY21">
        <f t="shared" si="18"/>
        <v>1153.9823008849557</v>
      </c>
      <c r="AZ21">
        <f t="shared" si="19"/>
        <v>361.12115732368898</v>
      </c>
      <c r="BA21">
        <f t="shared" si="20"/>
        <v>65.461121157323689</v>
      </c>
      <c r="BB21" t="s">
        <v>28</v>
      </c>
      <c r="BC21" t="s">
        <v>28</v>
      </c>
      <c r="BD21">
        <v>6.66</v>
      </c>
      <c r="BE21">
        <v>5.53</v>
      </c>
      <c r="BF21">
        <v>1.91</v>
      </c>
      <c r="BG21">
        <v>3.62</v>
      </c>
      <c r="BH21">
        <v>0.68</v>
      </c>
      <c r="BI21">
        <v>29992</v>
      </c>
      <c r="BJ21">
        <v>16884</v>
      </c>
      <c r="BK21">
        <v>6401</v>
      </c>
      <c r="BL21">
        <v>500</v>
      </c>
      <c r="BM21">
        <v>186</v>
      </c>
      <c r="BN21">
        <v>1997</v>
      </c>
      <c r="BO21">
        <v>243</v>
      </c>
      <c r="BP21">
        <v>2137</v>
      </c>
      <c r="BQ21">
        <v>299</v>
      </c>
      <c r="BR21">
        <v>1304</v>
      </c>
      <c r="BS21" t="s">
        <v>21</v>
      </c>
      <c r="BT21" t="s">
        <v>195</v>
      </c>
      <c r="BU21">
        <v>0</v>
      </c>
      <c r="BV21">
        <v>0.2</v>
      </c>
      <c r="BW21">
        <v>0</v>
      </c>
      <c r="BX21">
        <v>3.6</v>
      </c>
      <c r="BY21">
        <v>7.4</v>
      </c>
      <c r="BZ21">
        <v>7.7</v>
      </c>
      <c r="CA21">
        <v>4</v>
      </c>
      <c r="CB21">
        <v>4</v>
      </c>
      <c r="CC21">
        <v>0</v>
      </c>
      <c r="CD21">
        <f t="shared" si="21"/>
        <v>3.8961038961038974E-2</v>
      </c>
      <c r="CE21">
        <v>1</v>
      </c>
    </row>
    <row r="22" spans="1:83" x14ac:dyDescent="0.4">
      <c r="A22" t="s">
        <v>969</v>
      </c>
      <c r="B22" t="s">
        <v>20</v>
      </c>
      <c r="C22" t="s">
        <v>73</v>
      </c>
      <c r="D22" t="s">
        <v>82</v>
      </c>
      <c r="E22" t="s">
        <v>20</v>
      </c>
      <c r="F22" t="s">
        <v>12</v>
      </c>
      <c r="G22">
        <v>70</v>
      </c>
      <c r="H22">
        <v>65</v>
      </c>
      <c r="I22">
        <v>45.5</v>
      </c>
      <c r="J22">
        <f t="shared" si="4"/>
        <v>24.5</v>
      </c>
      <c r="K22">
        <f t="shared" si="5"/>
        <v>19.5</v>
      </c>
      <c r="L22">
        <v>5</v>
      </c>
      <c r="M22">
        <v>45.44</v>
      </c>
      <c r="N22" t="s">
        <v>199</v>
      </c>
      <c r="O22" t="s">
        <v>200</v>
      </c>
      <c r="P22" t="s">
        <v>13</v>
      </c>
      <c r="Q22">
        <v>0.4</v>
      </c>
      <c r="R22" t="s">
        <v>13</v>
      </c>
      <c r="S22" t="s">
        <v>27</v>
      </c>
      <c r="T22" t="s">
        <v>14</v>
      </c>
      <c r="U22">
        <v>2.5</v>
      </c>
      <c r="V22" t="s">
        <v>14</v>
      </c>
      <c r="W22">
        <f t="shared" si="6"/>
        <v>1</v>
      </c>
      <c r="X22" t="s">
        <v>17</v>
      </c>
      <c r="Y22" t="s">
        <v>14</v>
      </c>
      <c r="Z22">
        <v>0</v>
      </c>
      <c r="AA22">
        <f t="shared" si="0"/>
        <v>2416.3099886324321</v>
      </c>
      <c r="AB22">
        <f t="shared" si="1"/>
        <v>49.359956506696975</v>
      </c>
      <c r="AC22">
        <f t="shared" si="2"/>
        <v>20.43443878811842</v>
      </c>
      <c r="AD22" t="s">
        <v>15</v>
      </c>
      <c r="AE22" t="s">
        <v>15</v>
      </c>
      <c r="AF22" t="s">
        <v>24</v>
      </c>
      <c r="AG22" t="s">
        <v>14</v>
      </c>
      <c r="AH22" t="s">
        <v>17</v>
      </c>
      <c r="AI22" t="s">
        <v>18</v>
      </c>
      <c r="AJ22" t="s">
        <v>14</v>
      </c>
      <c r="AK22" t="s">
        <v>14</v>
      </c>
      <c r="AL22" t="s">
        <v>14</v>
      </c>
      <c r="AM22">
        <f t="shared" si="3"/>
        <v>41.398818464003199</v>
      </c>
      <c r="AN22">
        <f t="shared" si="7"/>
        <v>3983.9491338740359</v>
      </c>
      <c r="AO22">
        <f t="shared" si="8"/>
        <v>2224.4017222389107</v>
      </c>
      <c r="AP22">
        <f t="shared" si="9"/>
        <v>386.20206268148593</v>
      </c>
      <c r="AQ22">
        <f t="shared" si="10"/>
        <v>1234.4898367878241</v>
      </c>
      <c r="AR22">
        <f t="shared" si="11"/>
        <v>1373.3453489536396</v>
      </c>
      <c r="AS22">
        <f t="shared" si="12"/>
        <v>0.39539366381653729</v>
      </c>
      <c r="AT22">
        <f t="shared" si="13"/>
        <v>28.925517718578558</v>
      </c>
      <c r="AU22">
        <f t="shared" si="14"/>
        <v>6.5153301145831497</v>
      </c>
      <c r="AV22">
        <f t="shared" si="15"/>
        <v>30.986586306823465</v>
      </c>
      <c r="AW22">
        <f t="shared" si="16"/>
        <v>9.6939506430379243</v>
      </c>
      <c r="AX22">
        <f t="shared" si="17"/>
        <v>34.471959927314224</v>
      </c>
      <c r="AY22">
        <f t="shared" si="18"/>
        <v>887.39996096037476</v>
      </c>
      <c r="AZ22">
        <f t="shared" si="19"/>
        <v>259.56743766896966</v>
      </c>
      <c r="BA22">
        <f t="shared" si="20"/>
        <v>58.601181535996794</v>
      </c>
      <c r="BB22" t="s">
        <v>16</v>
      </c>
      <c r="BC22" t="s">
        <v>16</v>
      </c>
      <c r="BD22">
        <v>404.66</v>
      </c>
      <c r="BE22">
        <v>199.74</v>
      </c>
      <c r="BF22">
        <v>82.69</v>
      </c>
      <c r="BG22">
        <v>117.05</v>
      </c>
      <c r="BH22">
        <v>1.6</v>
      </c>
      <c r="BI22">
        <v>977784</v>
      </c>
      <c r="BJ22">
        <v>444302</v>
      </c>
      <c r="BK22">
        <v>246577</v>
      </c>
      <c r="BL22">
        <v>19889</v>
      </c>
      <c r="BM22">
        <v>3220</v>
      </c>
      <c r="BN22">
        <v>51846</v>
      </c>
      <c r="BO22">
        <v>2185</v>
      </c>
      <c r="BP22">
        <v>20611</v>
      </c>
      <c r="BQ22">
        <v>7124</v>
      </c>
      <c r="BR22">
        <v>181846</v>
      </c>
      <c r="BS22" t="s">
        <v>21</v>
      </c>
      <c r="BT22" t="s">
        <v>198</v>
      </c>
      <c r="BU22">
        <v>0.3</v>
      </c>
      <c r="BV22">
        <v>0.5</v>
      </c>
      <c r="BW22">
        <v>0.2</v>
      </c>
      <c r="BX22">
        <v>0.1</v>
      </c>
      <c r="BY22">
        <v>492.6</v>
      </c>
      <c r="BZ22">
        <v>500.2</v>
      </c>
      <c r="CA22">
        <v>1</v>
      </c>
      <c r="CB22">
        <v>1</v>
      </c>
      <c r="CC22">
        <v>0</v>
      </c>
      <c r="CD22">
        <f t="shared" si="21"/>
        <v>1.5193922431027573E-2</v>
      </c>
      <c r="CE22">
        <v>1</v>
      </c>
    </row>
    <row r="23" spans="1:83" x14ac:dyDescent="0.4">
      <c r="A23" t="s">
        <v>970</v>
      </c>
      <c r="B23" t="s">
        <v>43</v>
      </c>
      <c r="C23" t="s">
        <v>82</v>
      </c>
      <c r="D23" t="s">
        <v>82</v>
      </c>
      <c r="E23" t="s">
        <v>20</v>
      </c>
      <c r="F23" t="s">
        <v>22</v>
      </c>
      <c r="G23">
        <v>60</v>
      </c>
      <c r="H23">
        <v>77</v>
      </c>
      <c r="I23">
        <v>78</v>
      </c>
      <c r="J23">
        <f t="shared" si="4"/>
        <v>-18</v>
      </c>
      <c r="K23">
        <f t="shared" si="5"/>
        <v>-1</v>
      </c>
      <c r="L23">
        <v>-17</v>
      </c>
      <c r="M23">
        <v>78.13</v>
      </c>
      <c r="N23" t="s">
        <v>203</v>
      </c>
      <c r="O23" t="s">
        <v>204</v>
      </c>
      <c r="P23" t="s">
        <v>13</v>
      </c>
      <c r="Q23">
        <v>0.6</v>
      </c>
      <c r="R23" t="s">
        <v>13</v>
      </c>
      <c r="S23" t="s">
        <v>15</v>
      </c>
      <c r="T23" t="s">
        <v>14</v>
      </c>
      <c r="U23">
        <v>2.5</v>
      </c>
      <c r="V23" t="s">
        <v>14</v>
      </c>
      <c r="W23">
        <f t="shared" si="6"/>
        <v>0.75</v>
      </c>
      <c r="X23" t="s">
        <v>14</v>
      </c>
      <c r="Y23" t="s">
        <v>14</v>
      </c>
      <c r="Z23">
        <v>0</v>
      </c>
      <c r="AA23">
        <f t="shared" si="0"/>
        <v>6449.7781065088757</v>
      </c>
      <c r="AB23">
        <f t="shared" si="1"/>
        <v>89.940828402366861</v>
      </c>
      <c r="AC23">
        <f t="shared" si="2"/>
        <v>69.15680473372781</v>
      </c>
      <c r="AD23" t="s">
        <v>15</v>
      </c>
      <c r="AE23" t="s">
        <v>15</v>
      </c>
      <c r="AF23" t="s">
        <v>18</v>
      </c>
      <c r="AG23" t="s">
        <v>14</v>
      </c>
      <c r="AH23" t="s">
        <v>14</v>
      </c>
      <c r="AI23" t="s">
        <v>14</v>
      </c>
      <c r="AJ23" t="s">
        <v>14</v>
      </c>
      <c r="AK23" t="s">
        <v>14</v>
      </c>
      <c r="AL23" t="s">
        <v>14</v>
      </c>
      <c r="AM23">
        <f t="shared" si="3"/>
        <v>76.891447368421055</v>
      </c>
      <c r="AN23">
        <f t="shared" si="7"/>
        <v>6985.3618421052633</v>
      </c>
      <c r="AO23">
        <f t="shared" si="8"/>
        <v>5602.4671052631575</v>
      </c>
      <c r="AP23">
        <f t="shared" si="9"/>
        <v>487.99342105263156</v>
      </c>
      <c r="AQ23">
        <f t="shared" si="10"/>
        <v>590.7072368421052</v>
      </c>
      <c r="AR23">
        <f t="shared" si="11"/>
        <v>894.90131578947364</v>
      </c>
      <c r="AS23">
        <f t="shared" si="12"/>
        <v>0.29585798816568049</v>
      </c>
      <c r="AT23">
        <f t="shared" si="13"/>
        <v>20.784023668639055</v>
      </c>
      <c r="AU23">
        <f t="shared" si="14"/>
        <v>4.7138047138047137</v>
      </c>
      <c r="AV23">
        <f t="shared" si="15"/>
        <v>8.4563584563584566</v>
      </c>
      <c r="AW23">
        <f t="shared" si="16"/>
        <v>6.9859433495797134</v>
      </c>
      <c r="AX23">
        <f t="shared" si="17"/>
        <v>12.811094629276447</v>
      </c>
      <c r="AY23">
        <f t="shared" si="18"/>
        <v>1650.7352941176478</v>
      </c>
      <c r="AZ23">
        <f t="shared" si="19"/>
        <v>329.2763157894737</v>
      </c>
      <c r="BA23">
        <f t="shared" si="20"/>
        <v>23.108552631578949</v>
      </c>
      <c r="BB23" t="s">
        <v>28</v>
      </c>
      <c r="BC23" t="s">
        <v>30</v>
      </c>
      <c r="BD23">
        <v>13.52</v>
      </c>
      <c r="BE23">
        <v>12.16</v>
      </c>
      <c r="BF23">
        <v>9.35</v>
      </c>
      <c r="BG23">
        <v>2.81</v>
      </c>
      <c r="BH23">
        <v>0.04</v>
      </c>
      <c r="BI23">
        <v>87201</v>
      </c>
      <c r="BJ23">
        <v>68126</v>
      </c>
      <c r="BK23">
        <v>7183</v>
      </c>
      <c r="BL23">
        <v>1247</v>
      </c>
      <c r="BM23">
        <v>240</v>
      </c>
      <c r="BN23">
        <v>4004</v>
      </c>
      <c r="BO23">
        <v>443</v>
      </c>
      <c r="BP23">
        <v>3378</v>
      </c>
      <c r="BQ23">
        <v>321</v>
      </c>
      <c r="BR23">
        <v>2245</v>
      </c>
      <c r="BS23" t="s">
        <v>21</v>
      </c>
      <c r="BT23" t="s">
        <v>202</v>
      </c>
      <c r="BU23">
        <v>0</v>
      </c>
      <c r="BV23">
        <v>0.1</v>
      </c>
      <c r="BW23">
        <v>0</v>
      </c>
      <c r="BX23">
        <v>0.1</v>
      </c>
      <c r="BY23">
        <v>14.1</v>
      </c>
      <c r="BZ23">
        <v>14.3</v>
      </c>
      <c r="CA23">
        <v>4</v>
      </c>
      <c r="CB23">
        <v>3</v>
      </c>
      <c r="CC23">
        <v>0</v>
      </c>
      <c r="CD23">
        <f t="shared" si="21"/>
        <v>1.3986013986014068E-2</v>
      </c>
      <c r="CE23">
        <v>0.75</v>
      </c>
    </row>
    <row r="24" spans="1:83" x14ac:dyDescent="0.4">
      <c r="A24" t="s">
        <v>971</v>
      </c>
      <c r="B24" t="s">
        <v>25</v>
      </c>
      <c r="C24" t="s">
        <v>82</v>
      </c>
      <c r="D24" t="s">
        <v>82</v>
      </c>
      <c r="E24" t="s">
        <v>20</v>
      </c>
      <c r="F24" t="s">
        <v>22</v>
      </c>
      <c r="G24">
        <v>80</v>
      </c>
      <c r="H24">
        <v>77</v>
      </c>
      <c r="I24">
        <v>68.5</v>
      </c>
      <c r="J24">
        <f t="shared" si="4"/>
        <v>11.5</v>
      </c>
      <c r="K24">
        <f t="shared" si="5"/>
        <v>8.5</v>
      </c>
      <c r="L24">
        <v>3</v>
      </c>
      <c r="M24">
        <v>68.69</v>
      </c>
      <c r="N24" t="s">
        <v>206</v>
      </c>
      <c r="O24" t="s">
        <v>207</v>
      </c>
      <c r="P24" t="s">
        <v>13</v>
      </c>
      <c r="Q24">
        <v>0.1</v>
      </c>
      <c r="R24" t="s">
        <v>13</v>
      </c>
      <c r="S24" t="s">
        <v>27</v>
      </c>
      <c r="T24" t="s">
        <v>14</v>
      </c>
      <c r="U24">
        <v>0</v>
      </c>
      <c r="V24" t="s">
        <v>14</v>
      </c>
      <c r="W24">
        <f t="shared" si="6"/>
        <v>0.66666666666666663</v>
      </c>
      <c r="X24" t="s">
        <v>14</v>
      </c>
      <c r="Y24" t="s">
        <v>14</v>
      </c>
      <c r="Z24">
        <v>0</v>
      </c>
      <c r="AA24">
        <f t="shared" si="0"/>
        <v>3769.2898272552784</v>
      </c>
      <c r="AB24">
        <f t="shared" si="1"/>
        <v>46.97696737044145</v>
      </c>
      <c r="AC24">
        <f t="shared" si="2"/>
        <v>35.028790786948178</v>
      </c>
      <c r="AD24" t="s">
        <v>15</v>
      </c>
      <c r="AE24" t="s">
        <v>37</v>
      </c>
      <c r="AF24" t="s">
        <v>18</v>
      </c>
      <c r="AG24" t="s">
        <v>14</v>
      </c>
      <c r="AH24" t="s">
        <v>14</v>
      </c>
      <c r="AI24" t="s">
        <v>14</v>
      </c>
      <c r="AJ24" t="s">
        <v>14</v>
      </c>
      <c r="AK24" t="s">
        <v>14</v>
      </c>
      <c r="AL24" t="s">
        <v>14</v>
      </c>
      <c r="AM24">
        <f t="shared" si="3"/>
        <v>74.565883554647613</v>
      </c>
      <c r="AN24">
        <f t="shared" si="7"/>
        <v>6674.9744637385093</v>
      </c>
      <c r="AO24">
        <f t="shared" si="8"/>
        <v>5511.3381001021453</v>
      </c>
      <c r="AP24">
        <f t="shared" si="9"/>
        <v>663.32992849846789</v>
      </c>
      <c r="AQ24">
        <f t="shared" si="10"/>
        <v>409.70377936670076</v>
      </c>
      <c r="AR24">
        <f t="shared" si="11"/>
        <v>500.30643513789585</v>
      </c>
      <c r="AS24">
        <f t="shared" si="12"/>
        <v>11.324376199616124</v>
      </c>
      <c r="AT24">
        <f t="shared" si="13"/>
        <v>11.948176583493284</v>
      </c>
      <c r="AU24">
        <f t="shared" si="14"/>
        <v>7.1846116178000861</v>
      </c>
      <c r="AV24">
        <f t="shared" si="15"/>
        <v>6.1379078166125973</v>
      </c>
      <c r="AW24">
        <f t="shared" si="16"/>
        <v>9.9375650364203949</v>
      </c>
      <c r="AX24">
        <f t="shared" si="17"/>
        <v>7.4952561669829221</v>
      </c>
      <c r="AY24">
        <f t="shared" si="18"/>
        <v>1193.6651583710407</v>
      </c>
      <c r="AZ24">
        <f t="shared" si="19"/>
        <v>479.57099080694593</v>
      </c>
      <c r="BA24">
        <f t="shared" si="20"/>
        <v>25.434116445352405</v>
      </c>
      <c r="BB24" t="s">
        <v>30</v>
      </c>
      <c r="BC24" t="s">
        <v>31</v>
      </c>
      <c r="BD24">
        <v>20.84</v>
      </c>
      <c r="BE24">
        <v>9.7899999999999991</v>
      </c>
      <c r="BF24">
        <v>7.3</v>
      </c>
      <c r="BG24">
        <v>2.4900000000000002</v>
      </c>
      <c r="BH24">
        <v>2.36</v>
      </c>
      <c r="BI24">
        <v>78552</v>
      </c>
      <c r="BJ24">
        <v>53956</v>
      </c>
      <c r="BK24">
        <v>4011</v>
      </c>
      <c r="BL24">
        <v>1264</v>
      </c>
      <c r="BM24">
        <v>198</v>
      </c>
      <c r="BN24">
        <v>4695</v>
      </c>
      <c r="BO24">
        <v>337</v>
      </c>
      <c r="BP24">
        <v>777</v>
      </c>
      <c r="BQ24">
        <v>110</v>
      </c>
      <c r="BR24">
        <v>13190</v>
      </c>
      <c r="BS24" t="s">
        <v>21</v>
      </c>
      <c r="BT24" t="s">
        <v>205</v>
      </c>
      <c r="BU24">
        <v>0</v>
      </c>
      <c r="BV24">
        <v>0.2</v>
      </c>
      <c r="BW24">
        <v>0</v>
      </c>
      <c r="BX24">
        <v>0</v>
      </c>
      <c r="BY24">
        <v>22.3</v>
      </c>
      <c r="BZ24">
        <v>22.3</v>
      </c>
      <c r="CA24">
        <v>3</v>
      </c>
      <c r="CB24">
        <v>2</v>
      </c>
      <c r="CC24">
        <v>0</v>
      </c>
      <c r="CD24">
        <f t="shared" si="21"/>
        <v>0</v>
      </c>
      <c r="CE24">
        <v>0.66666666666666663</v>
      </c>
    </row>
    <row r="25" spans="1:83" x14ac:dyDescent="0.4">
      <c r="A25" t="s">
        <v>972</v>
      </c>
      <c r="B25" t="s">
        <v>20</v>
      </c>
      <c r="C25" t="s">
        <v>73</v>
      </c>
      <c r="D25" t="s">
        <v>82</v>
      </c>
      <c r="E25" t="s">
        <v>20</v>
      </c>
      <c r="F25" t="s">
        <v>22</v>
      </c>
      <c r="G25">
        <v>70</v>
      </c>
      <c r="H25">
        <v>77</v>
      </c>
      <c r="I25">
        <v>65</v>
      </c>
      <c r="J25">
        <f t="shared" si="4"/>
        <v>5</v>
      </c>
      <c r="K25">
        <f t="shared" si="5"/>
        <v>12</v>
      </c>
      <c r="L25">
        <v>-7</v>
      </c>
      <c r="M25">
        <v>65.2</v>
      </c>
      <c r="N25" t="s">
        <v>208</v>
      </c>
      <c r="O25" t="s">
        <v>209</v>
      </c>
      <c r="P25" t="s">
        <v>13</v>
      </c>
      <c r="Q25">
        <v>11</v>
      </c>
      <c r="R25" t="s">
        <v>38</v>
      </c>
      <c r="S25" t="s">
        <v>27</v>
      </c>
      <c r="T25" t="s">
        <v>17</v>
      </c>
      <c r="U25">
        <v>32.5</v>
      </c>
      <c r="V25" t="s">
        <v>17</v>
      </c>
      <c r="W25">
        <f t="shared" si="6"/>
        <v>1</v>
      </c>
      <c r="X25" t="s">
        <v>14</v>
      </c>
      <c r="Y25" t="s">
        <v>14</v>
      </c>
      <c r="Z25">
        <v>10</v>
      </c>
      <c r="AA25">
        <f t="shared" si="0"/>
        <v>6270.9547738693473</v>
      </c>
      <c r="AB25">
        <f t="shared" si="1"/>
        <v>94.120603015075389</v>
      </c>
      <c r="AC25">
        <f t="shared" si="2"/>
        <v>39.597989949748744</v>
      </c>
      <c r="AD25" t="s">
        <v>15</v>
      </c>
      <c r="AE25" t="s">
        <v>27</v>
      </c>
      <c r="AF25" t="s">
        <v>24</v>
      </c>
      <c r="AG25" t="s">
        <v>14</v>
      </c>
      <c r="AH25" t="s">
        <v>14</v>
      </c>
      <c r="AI25" t="s">
        <v>14</v>
      </c>
      <c r="AJ25" t="s">
        <v>14</v>
      </c>
      <c r="AK25" t="s">
        <v>14</v>
      </c>
      <c r="AL25" t="s">
        <v>17</v>
      </c>
      <c r="AM25">
        <f t="shared" si="3"/>
        <v>42.071542979177792</v>
      </c>
      <c r="AN25">
        <f t="shared" si="7"/>
        <v>6562.1996796583016</v>
      </c>
      <c r="AO25">
        <f t="shared" si="8"/>
        <v>4344.2605445808858</v>
      </c>
      <c r="AP25">
        <f t="shared" si="9"/>
        <v>378.75066737853712</v>
      </c>
      <c r="AQ25">
        <f t="shared" si="10"/>
        <v>1554.7250400427122</v>
      </c>
      <c r="AR25">
        <f t="shared" si="11"/>
        <v>1839.1884676988789</v>
      </c>
      <c r="AS25">
        <f t="shared" si="12"/>
        <v>0.25125628140703521</v>
      </c>
      <c r="AT25">
        <f t="shared" si="13"/>
        <v>54.572864321608044</v>
      </c>
      <c r="AU25">
        <f t="shared" si="14"/>
        <v>3.7637295582133268</v>
      </c>
      <c r="AV25">
        <f t="shared" si="15"/>
        <v>23.692132454641609</v>
      </c>
      <c r="AW25">
        <f t="shared" si="16"/>
        <v>5.7717028720201773</v>
      </c>
      <c r="AX25">
        <f t="shared" si="17"/>
        <v>28.02701163452933</v>
      </c>
      <c r="AY25">
        <f t="shared" si="18"/>
        <v>1566.6666666666692</v>
      </c>
      <c r="AZ25">
        <f t="shared" si="19"/>
        <v>246.98344901227975</v>
      </c>
      <c r="BA25">
        <f t="shared" si="20"/>
        <v>57.981847303790708</v>
      </c>
      <c r="BB25" t="s">
        <v>31</v>
      </c>
      <c r="BC25" t="s">
        <v>31</v>
      </c>
      <c r="BD25">
        <v>19.899999999999999</v>
      </c>
      <c r="BE25">
        <v>18.73</v>
      </c>
      <c r="BF25">
        <v>7.88</v>
      </c>
      <c r="BG25">
        <v>10.86</v>
      </c>
      <c r="BH25">
        <v>0.05</v>
      </c>
      <c r="BI25">
        <v>124792</v>
      </c>
      <c r="BJ25">
        <v>81368</v>
      </c>
      <c r="BK25">
        <v>29120</v>
      </c>
      <c r="BL25">
        <v>1587</v>
      </c>
      <c r="BM25">
        <v>350</v>
      </c>
      <c r="BN25">
        <v>4626</v>
      </c>
      <c r="BO25">
        <v>531</v>
      </c>
      <c r="BP25">
        <v>2428</v>
      </c>
      <c r="BQ25">
        <v>2900</v>
      </c>
      <c r="BR25">
        <v>1833</v>
      </c>
      <c r="BS25" t="s">
        <v>21</v>
      </c>
      <c r="BT25" t="s">
        <v>146</v>
      </c>
      <c r="BU25">
        <v>0</v>
      </c>
      <c r="BV25">
        <v>7.9</v>
      </c>
      <c r="BW25">
        <v>0</v>
      </c>
      <c r="BX25">
        <v>2.7</v>
      </c>
      <c r="BY25">
        <v>20.8</v>
      </c>
      <c r="BZ25">
        <v>26.6</v>
      </c>
      <c r="CA25">
        <v>2</v>
      </c>
      <c r="CB25">
        <v>2</v>
      </c>
      <c r="CC25">
        <v>0</v>
      </c>
      <c r="CD25">
        <f t="shared" si="21"/>
        <v>0.21804511278195493</v>
      </c>
      <c r="CE25">
        <v>1</v>
      </c>
    </row>
    <row r="26" spans="1:83" x14ac:dyDescent="0.4">
      <c r="A26" t="s">
        <v>973</v>
      </c>
      <c r="B26" t="s">
        <v>34</v>
      </c>
      <c r="C26" t="s">
        <v>34</v>
      </c>
      <c r="D26" t="s">
        <v>34</v>
      </c>
      <c r="E26" t="s">
        <v>20</v>
      </c>
      <c r="F26" t="s">
        <v>32</v>
      </c>
      <c r="G26">
        <v>60</v>
      </c>
      <c r="H26">
        <v>85</v>
      </c>
      <c r="I26">
        <v>83.5</v>
      </c>
      <c r="J26">
        <f t="shared" si="4"/>
        <v>-23.5</v>
      </c>
      <c r="K26">
        <f t="shared" si="5"/>
        <v>1.5</v>
      </c>
      <c r="L26">
        <v>-25</v>
      </c>
      <c r="M26">
        <v>83.41</v>
      </c>
      <c r="N26" t="s">
        <v>212</v>
      </c>
      <c r="O26" t="s">
        <v>213</v>
      </c>
      <c r="P26" t="s">
        <v>13</v>
      </c>
      <c r="Q26">
        <v>0.1</v>
      </c>
      <c r="R26" t="s">
        <v>26</v>
      </c>
      <c r="S26" t="s">
        <v>15</v>
      </c>
      <c r="T26" t="s">
        <v>14</v>
      </c>
      <c r="U26">
        <v>2.5</v>
      </c>
      <c r="V26" t="s">
        <v>14</v>
      </c>
      <c r="W26">
        <v>0</v>
      </c>
      <c r="X26" t="s">
        <v>14</v>
      </c>
      <c r="Y26" t="s">
        <v>14</v>
      </c>
      <c r="Z26">
        <v>0</v>
      </c>
      <c r="AA26">
        <f t="shared" si="0"/>
        <v>280.34026465028353</v>
      </c>
      <c r="AB26">
        <f t="shared" si="1"/>
        <v>5.4820415879017004</v>
      </c>
      <c r="AC26">
        <f t="shared" si="2"/>
        <v>5.4820415879017004</v>
      </c>
      <c r="AD26" t="s">
        <v>36</v>
      </c>
      <c r="AE26" t="s">
        <v>15</v>
      </c>
      <c r="AF26" t="s">
        <v>18</v>
      </c>
      <c r="AG26" t="s">
        <v>14</v>
      </c>
      <c r="AH26" t="s">
        <v>14</v>
      </c>
      <c r="AI26" t="s">
        <v>14</v>
      </c>
      <c r="AJ26" t="s">
        <v>14</v>
      </c>
      <c r="AK26" t="s">
        <v>14</v>
      </c>
      <c r="AL26" t="s">
        <v>14</v>
      </c>
      <c r="AM26">
        <f t="shared" si="3"/>
        <v>100</v>
      </c>
      <c r="AN26">
        <f t="shared" si="7"/>
        <v>4989.6551724137935</v>
      </c>
      <c r="AO26">
        <f t="shared" si="8"/>
        <v>4265.5172413793107</v>
      </c>
      <c r="AP26">
        <f t="shared" si="9"/>
        <v>620.68965517241384</v>
      </c>
      <c r="AQ26">
        <f t="shared" si="10"/>
        <v>13.793103448275863</v>
      </c>
      <c r="AR26">
        <f t="shared" si="11"/>
        <v>103.44827586206897</v>
      </c>
      <c r="AS26">
        <f t="shared" si="12"/>
        <v>83.742911153119096</v>
      </c>
      <c r="AT26">
        <f t="shared" si="13"/>
        <v>0</v>
      </c>
      <c r="AU26">
        <f t="shared" si="14"/>
        <v>2.6952315134761577</v>
      </c>
      <c r="AV26">
        <f t="shared" si="15"/>
        <v>0.27643400138217</v>
      </c>
      <c r="AW26">
        <f t="shared" si="16"/>
        <v>12.439530062197651</v>
      </c>
      <c r="AX26">
        <f t="shared" si="17"/>
        <v>2.073255010366275</v>
      </c>
      <c r="AY26">
        <f t="shared" si="18"/>
        <v>7</v>
      </c>
      <c r="AZ26">
        <f t="shared" si="19"/>
        <v>134.48275862068965</v>
      </c>
      <c r="BA26">
        <f t="shared" si="20"/>
        <v>0</v>
      </c>
      <c r="BB26" t="s">
        <v>33</v>
      </c>
      <c r="BC26" t="s">
        <v>33</v>
      </c>
      <c r="BD26">
        <v>5.29</v>
      </c>
      <c r="BE26">
        <v>0.28999999999999998</v>
      </c>
      <c r="BF26">
        <v>0.28999999999999998</v>
      </c>
      <c r="BG26">
        <v>0</v>
      </c>
      <c r="BH26">
        <v>4.43</v>
      </c>
      <c r="BI26">
        <v>1483</v>
      </c>
      <c r="BJ26">
        <v>1237</v>
      </c>
      <c r="BK26">
        <v>4</v>
      </c>
      <c r="BL26">
        <v>114</v>
      </c>
      <c r="BM26">
        <v>13</v>
      </c>
      <c r="BN26">
        <v>39</v>
      </c>
      <c r="BO26">
        <v>14</v>
      </c>
      <c r="BP26">
        <v>2</v>
      </c>
      <c r="BQ26">
        <v>24</v>
      </c>
      <c r="BR26">
        <v>35</v>
      </c>
      <c r="BS26" t="s">
        <v>44</v>
      </c>
      <c r="BT26" t="s">
        <v>211</v>
      </c>
      <c r="BU26">
        <v>0</v>
      </c>
      <c r="BV26">
        <v>0</v>
      </c>
      <c r="BW26">
        <v>0</v>
      </c>
      <c r="BX26">
        <v>0</v>
      </c>
      <c r="BY26">
        <v>42.1</v>
      </c>
      <c r="BZ26">
        <v>42.1</v>
      </c>
      <c r="CA26">
        <v>0</v>
      </c>
      <c r="CB26">
        <v>0</v>
      </c>
      <c r="CC26">
        <v>0</v>
      </c>
      <c r="CD26">
        <f t="shared" si="21"/>
        <v>0</v>
      </c>
      <c r="CE26">
        <v>0</v>
      </c>
    </row>
    <row r="27" spans="1:83" x14ac:dyDescent="0.4">
      <c r="A27" t="s">
        <v>974</v>
      </c>
      <c r="B27" t="s">
        <v>43</v>
      </c>
      <c r="C27" t="s">
        <v>82</v>
      </c>
      <c r="D27" t="s">
        <v>82</v>
      </c>
      <c r="E27" t="s">
        <v>20</v>
      </c>
      <c r="F27" t="s">
        <v>22</v>
      </c>
      <c r="G27">
        <v>70</v>
      </c>
      <c r="H27">
        <v>77</v>
      </c>
      <c r="I27">
        <v>56.5</v>
      </c>
      <c r="J27">
        <f t="shared" si="4"/>
        <v>13.5</v>
      </c>
      <c r="K27">
        <f t="shared" si="5"/>
        <v>20.5</v>
      </c>
      <c r="L27">
        <v>-7</v>
      </c>
      <c r="M27">
        <v>56.25</v>
      </c>
      <c r="N27" t="s">
        <v>215</v>
      </c>
      <c r="O27" t="s">
        <v>216</v>
      </c>
      <c r="P27" t="s">
        <v>13</v>
      </c>
      <c r="Q27">
        <v>1.1000000000000001</v>
      </c>
      <c r="R27" t="s">
        <v>26</v>
      </c>
      <c r="S27" t="s">
        <v>27</v>
      </c>
      <c r="T27" t="s">
        <v>14</v>
      </c>
      <c r="U27">
        <v>32.5</v>
      </c>
      <c r="V27" t="s">
        <v>17</v>
      </c>
      <c r="W27">
        <f t="shared" si="6"/>
        <v>0.82352941176470584</v>
      </c>
      <c r="X27" t="s">
        <v>14</v>
      </c>
      <c r="Y27" t="s">
        <v>17</v>
      </c>
      <c r="Z27">
        <v>10</v>
      </c>
      <c r="AA27">
        <f t="shared" si="0"/>
        <v>4668.8899707887049</v>
      </c>
      <c r="AB27">
        <f t="shared" si="1"/>
        <v>72.054527750730287</v>
      </c>
      <c r="AC27">
        <f t="shared" si="2"/>
        <v>24.959428756897111</v>
      </c>
      <c r="AD27" t="s">
        <v>27</v>
      </c>
      <c r="AE27" t="s">
        <v>27</v>
      </c>
      <c r="AF27" t="s">
        <v>24</v>
      </c>
      <c r="AG27" t="s">
        <v>14</v>
      </c>
      <c r="AH27" t="s">
        <v>14</v>
      </c>
      <c r="AI27" t="s">
        <v>18</v>
      </c>
      <c r="AJ27" t="s">
        <v>14</v>
      </c>
      <c r="AK27" t="s">
        <v>14</v>
      </c>
      <c r="AL27" t="s">
        <v>17</v>
      </c>
      <c r="AM27">
        <f t="shared" si="3"/>
        <v>34.63963963963964</v>
      </c>
      <c r="AN27">
        <f t="shared" si="7"/>
        <v>5947.7027027027025</v>
      </c>
      <c r="AO27">
        <f t="shared" si="8"/>
        <v>3644.8423423423424</v>
      </c>
      <c r="AP27">
        <f t="shared" si="9"/>
        <v>352.88288288288288</v>
      </c>
      <c r="AQ27">
        <f t="shared" si="10"/>
        <v>1692.7252252252254</v>
      </c>
      <c r="AR27">
        <f t="shared" si="11"/>
        <v>1949.9774774774776</v>
      </c>
      <c r="AS27">
        <f t="shared" si="12"/>
        <v>3.3917559234014933</v>
      </c>
      <c r="AT27">
        <f t="shared" si="13"/>
        <v>47.095098993833176</v>
      </c>
      <c r="AU27">
        <f t="shared" si="14"/>
        <v>4.1945940214633559</v>
      </c>
      <c r="AV27">
        <f t="shared" si="15"/>
        <v>28.460151924810095</v>
      </c>
      <c r="AW27">
        <f t="shared" si="16"/>
        <v>5.9330955248070643</v>
      </c>
      <c r="AX27">
        <f t="shared" si="17"/>
        <v>32.785389165322364</v>
      </c>
      <c r="AY27">
        <f t="shared" si="18"/>
        <v>1365.4471544715448</v>
      </c>
      <c r="AZ27">
        <f t="shared" si="19"/>
        <v>249.48198198198199</v>
      </c>
      <c r="BA27">
        <f t="shared" si="20"/>
        <v>65.36036036036036</v>
      </c>
      <c r="BB27" t="s">
        <v>45</v>
      </c>
      <c r="BC27" t="s">
        <v>46</v>
      </c>
      <c r="BD27">
        <v>61.62</v>
      </c>
      <c r="BE27">
        <v>44.4</v>
      </c>
      <c r="BF27">
        <v>15.38</v>
      </c>
      <c r="BG27">
        <v>29.02</v>
      </c>
      <c r="BH27">
        <v>2.09</v>
      </c>
      <c r="BI27">
        <v>287697</v>
      </c>
      <c r="BJ27">
        <v>161831</v>
      </c>
      <c r="BK27">
        <v>75157</v>
      </c>
      <c r="BL27">
        <v>2394</v>
      </c>
      <c r="BM27">
        <v>899</v>
      </c>
      <c r="BN27">
        <v>11077</v>
      </c>
      <c r="BO27">
        <v>1298</v>
      </c>
      <c r="BP27">
        <v>7263</v>
      </c>
      <c r="BQ27">
        <v>4159</v>
      </c>
      <c r="BR27">
        <v>23513</v>
      </c>
      <c r="BS27" t="s">
        <v>21</v>
      </c>
      <c r="BT27" t="s">
        <v>214</v>
      </c>
      <c r="BU27">
        <v>0</v>
      </c>
      <c r="BV27">
        <v>1.8</v>
      </c>
      <c r="BW27">
        <v>0</v>
      </c>
      <c r="BX27">
        <v>10.199999999999999</v>
      </c>
      <c r="BY27">
        <v>69.2</v>
      </c>
      <c r="BZ27">
        <v>79.7</v>
      </c>
      <c r="CA27">
        <v>10</v>
      </c>
      <c r="CB27">
        <v>10</v>
      </c>
      <c r="CC27">
        <v>0</v>
      </c>
      <c r="CD27">
        <f t="shared" si="21"/>
        <v>0.13174404015056462</v>
      </c>
      <c r="CE27">
        <v>1</v>
      </c>
    </row>
    <row r="28" spans="1:83" x14ac:dyDescent="0.4">
      <c r="A28" t="s">
        <v>975</v>
      </c>
      <c r="B28" t="s">
        <v>20</v>
      </c>
      <c r="C28" t="s">
        <v>73</v>
      </c>
      <c r="D28" t="s">
        <v>82</v>
      </c>
      <c r="E28" t="s">
        <v>20</v>
      </c>
      <c r="F28" t="s">
        <v>22</v>
      </c>
      <c r="G28">
        <v>40</v>
      </c>
      <c r="H28">
        <v>52</v>
      </c>
      <c r="I28">
        <v>47.5</v>
      </c>
      <c r="J28">
        <f t="shared" si="4"/>
        <v>-7.5</v>
      </c>
      <c r="K28">
        <f t="shared" si="5"/>
        <v>4.5</v>
      </c>
      <c r="L28">
        <v>-12</v>
      </c>
      <c r="M28">
        <v>47.45</v>
      </c>
      <c r="N28" t="s">
        <v>217</v>
      </c>
      <c r="O28" t="s">
        <v>218</v>
      </c>
      <c r="P28" t="s">
        <v>13</v>
      </c>
      <c r="Q28">
        <v>0</v>
      </c>
      <c r="R28" t="s">
        <v>26</v>
      </c>
      <c r="S28" t="s">
        <v>15</v>
      </c>
      <c r="T28" t="s">
        <v>14</v>
      </c>
      <c r="U28">
        <v>10</v>
      </c>
      <c r="V28" t="s">
        <v>17</v>
      </c>
      <c r="W28">
        <f t="shared" si="6"/>
        <v>1</v>
      </c>
      <c r="X28" t="s">
        <v>14</v>
      </c>
      <c r="Y28" t="s">
        <v>14</v>
      </c>
      <c r="Z28">
        <v>0</v>
      </c>
      <c r="AA28">
        <f t="shared" si="0"/>
        <v>3610.0549218419937</v>
      </c>
      <c r="AB28">
        <f t="shared" si="1"/>
        <v>81.537811575834382</v>
      </c>
      <c r="AC28">
        <f t="shared" si="2"/>
        <v>35.825940008449514</v>
      </c>
      <c r="AD28" t="s">
        <v>15</v>
      </c>
      <c r="AE28" t="s">
        <v>15</v>
      </c>
      <c r="AF28" t="s">
        <v>24</v>
      </c>
      <c r="AG28" t="s">
        <v>14</v>
      </c>
      <c r="AH28" t="s">
        <v>14</v>
      </c>
      <c r="AI28" t="s">
        <v>14</v>
      </c>
      <c r="AJ28" t="s">
        <v>14</v>
      </c>
      <c r="AK28" t="s">
        <v>14</v>
      </c>
      <c r="AL28" t="s">
        <v>14</v>
      </c>
      <c r="AM28">
        <f t="shared" si="3"/>
        <v>43.937823834196891</v>
      </c>
      <c r="AN28">
        <f t="shared" si="7"/>
        <v>4132.5906735751296</v>
      </c>
      <c r="AO28">
        <f t="shared" si="8"/>
        <v>2100.6217616580311</v>
      </c>
      <c r="AP28">
        <f t="shared" si="9"/>
        <v>298.34196891191709</v>
      </c>
      <c r="AQ28">
        <f t="shared" si="10"/>
        <v>1601.1917098445595</v>
      </c>
      <c r="AR28">
        <f t="shared" si="11"/>
        <v>1733.6269430051814</v>
      </c>
      <c r="AS28">
        <f t="shared" si="12"/>
        <v>4.2247570764681025E-2</v>
      </c>
      <c r="AT28">
        <f t="shared" si="13"/>
        <v>45.711871567384875</v>
      </c>
      <c r="AU28">
        <f t="shared" si="14"/>
        <v>5.333567371707268</v>
      </c>
      <c r="AV28">
        <f t="shared" si="15"/>
        <v>38.74547073057586</v>
      </c>
      <c r="AW28">
        <f t="shared" si="16"/>
        <v>7.2192479845534674</v>
      </c>
      <c r="AX28">
        <f t="shared" si="17"/>
        <v>41.950124750811824</v>
      </c>
      <c r="AY28">
        <f t="shared" si="18"/>
        <v>1297.4828375286038</v>
      </c>
      <c r="AZ28">
        <f t="shared" si="19"/>
        <v>220.41450777202073</v>
      </c>
      <c r="BA28">
        <f t="shared" si="20"/>
        <v>56.062176165803109</v>
      </c>
      <c r="BB28" t="s">
        <v>30</v>
      </c>
      <c r="BC28" t="s">
        <v>30</v>
      </c>
      <c r="BD28">
        <v>23.67</v>
      </c>
      <c r="BE28">
        <v>19.3</v>
      </c>
      <c r="BF28">
        <v>8.48</v>
      </c>
      <c r="BG28">
        <v>10.82</v>
      </c>
      <c r="BH28">
        <v>0.01</v>
      </c>
      <c r="BI28">
        <v>85450</v>
      </c>
      <c r="BJ28">
        <v>40542</v>
      </c>
      <c r="BK28">
        <v>30903</v>
      </c>
      <c r="BL28">
        <v>639</v>
      </c>
      <c r="BM28">
        <v>469</v>
      </c>
      <c r="BN28">
        <v>4254</v>
      </c>
      <c r="BO28">
        <v>396</v>
      </c>
      <c r="BP28">
        <v>2370</v>
      </c>
      <c r="BQ28">
        <v>186</v>
      </c>
      <c r="BR28">
        <v>5670</v>
      </c>
      <c r="BS28" t="s">
        <v>21</v>
      </c>
      <c r="BT28" t="s">
        <v>135</v>
      </c>
      <c r="BU28">
        <v>0</v>
      </c>
      <c r="BV28">
        <v>0</v>
      </c>
      <c r="BW28">
        <v>0</v>
      </c>
      <c r="BX28">
        <v>1.9</v>
      </c>
      <c r="BY28">
        <v>24.1</v>
      </c>
      <c r="BZ28">
        <v>24.6</v>
      </c>
      <c r="CA28">
        <v>3</v>
      </c>
      <c r="CB28">
        <v>3</v>
      </c>
      <c r="CC28">
        <v>0</v>
      </c>
      <c r="CD28">
        <f t="shared" si="21"/>
        <v>2.0325203252032464E-2</v>
      </c>
      <c r="CE28">
        <v>1</v>
      </c>
    </row>
    <row r="29" spans="1:83" x14ac:dyDescent="0.4">
      <c r="A29" t="s">
        <v>976</v>
      </c>
      <c r="B29" t="s">
        <v>25</v>
      </c>
      <c r="C29" t="s">
        <v>82</v>
      </c>
      <c r="D29" t="s">
        <v>82</v>
      </c>
      <c r="E29" t="s">
        <v>20</v>
      </c>
      <c r="F29" t="s">
        <v>22</v>
      </c>
      <c r="G29">
        <v>50</v>
      </c>
      <c r="H29">
        <v>62</v>
      </c>
      <c r="I29">
        <v>42.5</v>
      </c>
      <c r="J29">
        <f t="shared" si="4"/>
        <v>7.5</v>
      </c>
      <c r="K29">
        <f t="shared" si="5"/>
        <v>19.5</v>
      </c>
      <c r="L29">
        <v>-12</v>
      </c>
      <c r="M29">
        <v>42.73</v>
      </c>
      <c r="N29" t="s">
        <v>219</v>
      </c>
      <c r="O29" t="s">
        <v>220</v>
      </c>
      <c r="P29" t="s">
        <v>13</v>
      </c>
      <c r="Q29">
        <v>0</v>
      </c>
      <c r="R29" t="s">
        <v>13</v>
      </c>
      <c r="S29" t="s">
        <v>15</v>
      </c>
      <c r="T29" t="s">
        <v>14</v>
      </c>
      <c r="U29">
        <v>2.5</v>
      </c>
      <c r="V29" t="s">
        <v>14</v>
      </c>
      <c r="W29">
        <f t="shared" si="6"/>
        <v>0.4</v>
      </c>
      <c r="X29" t="s">
        <v>14</v>
      </c>
      <c r="Y29" t="s">
        <v>14</v>
      </c>
      <c r="Z29">
        <v>0</v>
      </c>
      <c r="AA29">
        <f t="shared" si="0"/>
        <v>2436.7581930912315</v>
      </c>
      <c r="AB29">
        <f t="shared" si="1"/>
        <v>56.155890168290526</v>
      </c>
      <c r="AC29">
        <f t="shared" si="2"/>
        <v>13.108945969884855</v>
      </c>
      <c r="AD29" t="s">
        <v>15</v>
      </c>
      <c r="AE29" t="s">
        <v>15</v>
      </c>
      <c r="AF29" t="s">
        <v>24</v>
      </c>
      <c r="AG29" t="s">
        <v>14</v>
      </c>
      <c r="AH29" t="s">
        <v>14</v>
      </c>
      <c r="AI29" t="s">
        <v>14</v>
      </c>
      <c r="AJ29" t="s">
        <v>14</v>
      </c>
      <c r="AK29" t="s">
        <v>14</v>
      </c>
      <c r="AL29" t="s">
        <v>14</v>
      </c>
      <c r="AM29">
        <f t="shared" si="3"/>
        <v>23.343848580441641</v>
      </c>
      <c r="AN29">
        <f t="shared" si="7"/>
        <v>3628.8643533123031</v>
      </c>
      <c r="AO29">
        <f t="shared" si="8"/>
        <v>1854.1009463722398</v>
      </c>
      <c r="AP29">
        <f t="shared" si="9"/>
        <v>370.82018927444796</v>
      </c>
      <c r="AQ29">
        <f t="shared" si="10"/>
        <v>1284.8580441640379</v>
      </c>
      <c r="AR29">
        <f t="shared" si="11"/>
        <v>1403.9432176656151</v>
      </c>
      <c r="AS29">
        <f t="shared" si="12"/>
        <v>2.3029229406554474</v>
      </c>
      <c r="AT29">
        <f t="shared" si="13"/>
        <v>43.046944198405676</v>
      </c>
      <c r="AU29">
        <f t="shared" si="14"/>
        <v>6.7761985482679181</v>
      </c>
      <c r="AV29">
        <f t="shared" si="15"/>
        <v>35.406615377928453</v>
      </c>
      <c r="AW29">
        <f t="shared" si="16"/>
        <v>10.218629112878689</v>
      </c>
      <c r="AX29">
        <f t="shared" si="17"/>
        <v>38.688225322727867</v>
      </c>
      <c r="AY29">
        <f t="shared" si="18"/>
        <v>908.48484848484861</v>
      </c>
      <c r="AZ29">
        <f t="shared" si="19"/>
        <v>245.89905362776025</v>
      </c>
      <c r="BA29">
        <f t="shared" si="20"/>
        <v>76.65615141955837</v>
      </c>
      <c r="BB29" t="s">
        <v>29</v>
      </c>
      <c r="BC29" t="s">
        <v>31</v>
      </c>
      <c r="BD29">
        <v>11.29</v>
      </c>
      <c r="BE29">
        <v>6.34</v>
      </c>
      <c r="BF29">
        <v>1.48</v>
      </c>
      <c r="BG29">
        <v>4.8600000000000003</v>
      </c>
      <c r="BH29">
        <v>0.26</v>
      </c>
      <c r="BI29">
        <v>27511</v>
      </c>
      <c r="BJ29">
        <v>11755</v>
      </c>
      <c r="BK29">
        <v>8146</v>
      </c>
      <c r="BL29">
        <v>430</v>
      </c>
      <c r="BM29">
        <v>242</v>
      </c>
      <c r="BN29">
        <v>1559</v>
      </c>
      <c r="BO29">
        <v>120</v>
      </c>
      <c r="BP29">
        <v>453</v>
      </c>
      <c r="BQ29">
        <v>302</v>
      </c>
      <c r="BR29">
        <v>4497</v>
      </c>
      <c r="BS29" t="s">
        <v>21</v>
      </c>
      <c r="BT29" t="s">
        <v>143</v>
      </c>
      <c r="BU29">
        <v>0</v>
      </c>
      <c r="BV29">
        <v>0</v>
      </c>
      <c r="BW29">
        <v>0</v>
      </c>
      <c r="BX29">
        <v>0.7</v>
      </c>
      <c r="BY29">
        <v>12.1</v>
      </c>
      <c r="BZ29">
        <v>12.2</v>
      </c>
      <c r="CA29">
        <v>5</v>
      </c>
      <c r="CB29">
        <v>2</v>
      </c>
      <c r="CC29">
        <v>0</v>
      </c>
      <c r="CD29">
        <f t="shared" si="21"/>
        <v>8.1967213114754189E-3</v>
      </c>
      <c r="CE29">
        <v>0.4</v>
      </c>
    </row>
    <row r="30" spans="1:83" x14ac:dyDescent="0.4">
      <c r="A30" t="s">
        <v>977</v>
      </c>
      <c r="B30" t="s">
        <v>20</v>
      </c>
      <c r="C30" t="s">
        <v>73</v>
      </c>
      <c r="D30" t="s">
        <v>82</v>
      </c>
      <c r="E30" t="s">
        <v>20</v>
      </c>
      <c r="F30" t="s">
        <v>12</v>
      </c>
      <c r="G30">
        <v>40</v>
      </c>
      <c r="H30">
        <v>50</v>
      </c>
      <c r="I30">
        <v>33</v>
      </c>
      <c r="J30">
        <f t="shared" si="4"/>
        <v>7</v>
      </c>
      <c r="K30">
        <f t="shared" si="5"/>
        <v>17</v>
      </c>
      <c r="L30">
        <v>-10</v>
      </c>
      <c r="M30">
        <v>32.85</v>
      </c>
      <c r="N30" t="s">
        <v>222</v>
      </c>
      <c r="O30" t="s">
        <v>223</v>
      </c>
      <c r="P30" t="s">
        <v>13</v>
      </c>
      <c r="Q30">
        <v>0.4</v>
      </c>
      <c r="R30" t="s">
        <v>13</v>
      </c>
      <c r="S30" t="s">
        <v>35</v>
      </c>
      <c r="T30" t="s">
        <v>14</v>
      </c>
      <c r="U30">
        <v>2.5</v>
      </c>
      <c r="V30" t="s">
        <v>14</v>
      </c>
      <c r="W30">
        <f t="shared" si="6"/>
        <v>1</v>
      </c>
      <c r="X30" t="s">
        <v>14</v>
      </c>
      <c r="Y30" t="s">
        <v>14</v>
      </c>
      <c r="Z30">
        <v>0</v>
      </c>
      <c r="AA30">
        <f t="shared" si="0"/>
        <v>1897.1815307894385</v>
      </c>
      <c r="AB30">
        <f t="shared" si="1"/>
        <v>43.056235807471388</v>
      </c>
      <c r="AC30">
        <f t="shared" si="2"/>
        <v>12.538403312703148</v>
      </c>
      <c r="AD30" t="s">
        <v>15</v>
      </c>
      <c r="AE30" t="s">
        <v>15</v>
      </c>
      <c r="AF30" t="s">
        <v>24</v>
      </c>
      <c r="AG30" t="s">
        <v>14</v>
      </c>
      <c r="AH30" t="s">
        <v>14</v>
      </c>
      <c r="AI30" t="s">
        <v>14</v>
      </c>
      <c r="AJ30" t="s">
        <v>14</v>
      </c>
      <c r="AK30" t="s">
        <v>14</v>
      </c>
      <c r="AL30" t="s">
        <v>14</v>
      </c>
      <c r="AM30">
        <f t="shared" si="3"/>
        <v>29.120992761116856</v>
      </c>
      <c r="AN30">
        <f t="shared" si="7"/>
        <v>2637.8800413650465</v>
      </c>
      <c r="AO30">
        <f t="shared" si="8"/>
        <v>1447.5284384694933</v>
      </c>
      <c r="AP30">
        <f t="shared" si="9"/>
        <v>469.91726990692865</v>
      </c>
      <c r="AQ30">
        <f t="shared" si="10"/>
        <v>637.60082730093075</v>
      </c>
      <c r="AR30">
        <f t="shared" si="11"/>
        <v>720.43433298862465</v>
      </c>
      <c r="AS30">
        <f t="shared" si="12"/>
        <v>1.5673004140878934</v>
      </c>
      <c r="AT30">
        <f t="shared" si="13"/>
        <v>30.517832494768246</v>
      </c>
      <c r="AU30">
        <f t="shared" si="14"/>
        <v>11.33513405440582</v>
      </c>
      <c r="AV30">
        <f t="shared" si="15"/>
        <v>24.17095612016481</v>
      </c>
      <c r="AW30">
        <f t="shared" si="16"/>
        <v>17.814201652011306</v>
      </c>
      <c r="AX30">
        <f t="shared" si="17"/>
        <v>27.311110501287818</v>
      </c>
      <c r="AY30">
        <f t="shared" si="18"/>
        <v>1336.0544217687075</v>
      </c>
      <c r="AZ30">
        <f t="shared" si="19"/>
        <v>299.00723888314371</v>
      </c>
      <c r="BA30">
        <f t="shared" si="20"/>
        <v>70.879007238883148</v>
      </c>
      <c r="BB30" t="s">
        <v>16</v>
      </c>
      <c r="BC30" t="s">
        <v>16</v>
      </c>
      <c r="BD30">
        <v>224.59</v>
      </c>
      <c r="BE30">
        <v>96.7</v>
      </c>
      <c r="BF30">
        <v>28.16</v>
      </c>
      <c r="BG30">
        <v>68.540000000000006</v>
      </c>
      <c r="BH30">
        <v>3.52</v>
      </c>
      <c r="BI30">
        <v>426088</v>
      </c>
      <c r="BJ30">
        <v>139976</v>
      </c>
      <c r="BK30">
        <v>61656</v>
      </c>
      <c r="BL30">
        <v>11747</v>
      </c>
      <c r="BM30">
        <v>2125</v>
      </c>
      <c r="BN30">
        <v>28914</v>
      </c>
      <c r="BO30">
        <v>2655</v>
      </c>
      <c r="BP30">
        <v>6578</v>
      </c>
      <c r="BQ30">
        <v>1432</v>
      </c>
      <c r="BR30">
        <v>170868</v>
      </c>
      <c r="BS30" t="s">
        <v>21</v>
      </c>
      <c r="BT30" t="s">
        <v>221</v>
      </c>
      <c r="BU30">
        <v>0</v>
      </c>
      <c r="BV30">
        <v>1.6</v>
      </c>
      <c r="BW30">
        <v>0</v>
      </c>
      <c r="BX30">
        <v>0</v>
      </c>
      <c r="BY30">
        <v>242.9</v>
      </c>
      <c r="BZ30">
        <v>248</v>
      </c>
      <c r="CA30">
        <v>1</v>
      </c>
      <c r="CB30">
        <v>1</v>
      </c>
      <c r="CC30">
        <v>0</v>
      </c>
      <c r="CD30">
        <f t="shared" si="21"/>
        <v>2.0564516129032206E-2</v>
      </c>
      <c r="CE30">
        <v>1</v>
      </c>
    </row>
    <row r="31" spans="1:83" x14ac:dyDescent="0.4">
      <c r="A31" t="s">
        <v>978</v>
      </c>
      <c r="B31" t="s">
        <v>20</v>
      </c>
      <c r="C31" t="s">
        <v>73</v>
      </c>
      <c r="D31" t="s">
        <v>82</v>
      </c>
      <c r="E31" t="s">
        <v>20</v>
      </c>
      <c r="F31" t="s">
        <v>22</v>
      </c>
      <c r="G31">
        <v>50</v>
      </c>
      <c r="H31">
        <v>35</v>
      </c>
      <c r="I31">
        <v>28</v>
      </c>
      <c r="J31">
        <f t="shared" si="4"/>
        <v>22</v>
      </c>
      <c r="K31">
        <f t="shared" si="5"/>
        <v>7</v>
      </c>
      <c r="L31">
        <v>15</v>
      </c>
      <c r="M31">
        <v>28.15</v>
      </c>
      <c r="N31" t="s">
        <v>224</v>
      </c>
      <c r="O31" t="s">
        <v>225</v>
      </c>
      <c r="P31" t="s">
        <v>13</v>
      </c>
      <c r="Q31">
        <v>0.1</v>
      </c>
      <c r="R31" t="s">
        <v>26</v>
      </c>
      <c r="S31" t="s">
        <v>15</v>
      </c>
      <c r="T31" t="s">
        <v>14</v>
      </c>
      <c r="U31">
        <v>5</v>
      </c>
      <c r="V31" t="s">
        <v>14</v>
      </c>
      <c r="W31">
        <f t="shared" si="6"/>
        <v>1</v>
      </c>
      <c r="X31" t="s">
        <v>14</v>
      </c>
      <c r="Y31" t="s">
        <v>14</v>
      </c>
      <c r="Z31">
        <v>0</v>
      </c>
      <c r="AA31">
        <f t="shared" si="0"/>
        <v>1890.8165475416936</v>
      </c>
      <c r="AB31">
        <f t="shared" si="1"/>
        <v>74.117392246047217</v>
      </c>
      <c r="AC31">
        <f t="shared" si="2"/>
        <v>17.93372319688109</v>
      </c>
      <c r="AD31" t="s">
        <v>15</v>
      </c>
      <c r="AE31" t="s">
        <v>15</v>
      </c>
      <c r="AF31" t="s">
        <v>24</v>
      </c>
      <c r="AG31" t="s">
        <v>14</v>
      </c>
      <c r="AH31" t="s">
        <v>14</v>
      </c>
      <c r="AI31" t="s">
        <v>14</v>
      </c>
      <c r="AJ31" t="s">
        <v>14</v>
      </c>
      <c r="AK31" t="s">
        <v>14</v>
      </c>
      <c r="AL31" t="s">
        <v>14</v>
      </c>
      <c r="AM31">
        <f t="shared" si="3"/>
        <v>24.196376388077145</v>
      </c>
      <c r="AN31">
        <f t="shared" si="7"/>
        <v>2174.5762711864409</v>
      </c>
      <c r="AO31">
        <f t="shared" si="8"/>
        <v>718.17650496785507</v>
      </c>
      <c r="AP31">
        <f t="shared" si="9"/>
        <v>238.48626534190532</v>
      </c>
      <c r="AQ31">
        <f t="shared" si="10"/>
        <v>1082.5248392752776</v>
      </c>
      <c r="AR31">
        <f t="shared" si="11"/>
        <v>1217.9135008766802</v>
      </c>
      <c r="AS31">
        <f t="shared" si="12"/>
        <v>0.32488628979857048</v>
      </c>
      <c r="AT31">
        <f t="shared" si="13"/>
        <v>56.18366904916612</v>
      </c>
      <c r="AU31">
        <f t="shared" si="14"/>
        <v>7.4851506436960786</v>
      </c>
      <c r="AV31">
        <f t="shared" si="15"/>
        <v>49.78095519660279</v>
      </c>
      <c r="AW31">
        <f t="shared" si="16"/>
        <v>10.967022334506948</v>
      </c>
      <c r="AX31">
        <f t="shared" si="17"/>
        <v>56.00693417905233</v>
      </c>
      <c r="AY31">
        <f t="shared" si="18"/>
        <v>1074.2259414225939</v>
      </c>
      <c r="AZ31">
        <f t="shared" si="19"/>
        <v>162.77030976037406</v>
      </c>
      <c r="BA31">
        <f t="shared" si="20"/>
        <v>75.803623611922859</v>
      </c>
      <c r="BB31" t="s">
        <v>47</v>
      </c>
      <c r="BC31" t="s">
        <v>47</v>
      </c>
      <c r="BD31">
        <v>46.17</v>
      </c>
      <c r="BE31">
        <v>34.22</v>
      </c>
      <c r="BF31">
        <v>8.2799999999999994</v>
      </c>
      <c r="BG31">
        <v>25.94</v>
      </c>
      <c r="BH31">
        <v>0.15</v>
      </c>
      <c r="BI31">
        <v>87299</v>
      </c>
      <c r="BJ31">
        <v>24576</v>
      </c>
      <c r="BK31">
        <v>37044</v>
      </c>
      <c r="BL31">
        <v>1857</v>
      </c>
      <c r="BM31">
        <v>392</v>
      </c>
      <c r="BN31">
        <v>5570</v>
      </c>
      <c r="BO31">
        <v>342</v>
      </c>
      <c r="BP31">
        <v>4077</v>
      </c>
      <c r="BQ31">
        <v>556</v>
      </c>
      <c r="BR31">
        <v>12837</v>
      </c>
      <c r="BS31" t="s">
        <v>21</v>
      </c>
      <c r="BT31" t="s">
        <v>136</v>
      </c>
      <c r="BU31">
        <v>0</v>
      </c>
      <c r="BV31">
        <v>0</v>
      </c>
      <c r="BW31">
        <v>0</v>
      </c>
      <c r="BX31">
        <v>0</v>
      </c>
      <c r="BY31">
        <v>47.6</v>
      </c>
      <c r="BZ31">
        <v>47.7</v>
      </c>
      <c r="CA31">
        <v>9</v>
      </c>
      <c r="CB31">
        <v>9</v>
      </c>
      <c r="CC31">
        <v>0</v>
      </c>
      <c r="CD31">
        <f t="shared" si="21"/>
        <v>2.0964360587002462E-3</v>
      </c>
      <c r="CE31">
        <v>1</v>
      </c>
    </row>
    <row r="32" spans="1:83" x14ac:dyDescent="0.4">
      <c r="A32" t="s">
        <v>979</v>
      </c>
      <c r="B32" t="s">
        <v>34</v>
      </c>
      <c r="C32" t="s">
        <v>34</v>
      </c>
      <c r="D32" t="s">
        <v>34</v>
      </c>
      <c r="E32" t="s">
        <v>20</v>
      </c>
      <c r="F32" t="s">
        <v>12</v>
      </c>
      <c r="G32">
        <v>60</v>
      </c>
      <c r="H32">
        <v>55</v>
      </c>
      <c r="I32">
        <v>62.5</v>
      </c>
      <c r="J32">
        <f t="shared" si="4"/>
        <v>-2.5</v>
      </c>
      <c r="K32">
        <f t="shared" si="5"/>
        <v>-7.5</v>
      </c>
      <c r="L32">
        <v>5</v>
      </c>
      <c r="M32">
        <v>62.66</v>
      </c>
      <c r="N32" t="s">
        <v>227</v>
      </c>
      <c r="O32" t="s">
        <v>228</v>
      </c>
      <c r="P32" t="s">
        <v>26</v>
      </c>
      <c r="Q32">
        <v>5.9</v>
      </c>
      <c r="R32" t="s">
        <v>26</v>
      </c>
      <c r="S32" t="s">
        <v>35</v>
      </c>
      <c r="T32" t="s">
        <v>14</v>
      </c>
      <c r="U32">
        <v>7.5</v>
      </c>
      <c r="V32" t="s">
        <v>14</v>
      </c>
      <c r="W32">
        <f t="shared" si="6"/>
        <v>1</v>
      </c>
      <c r="X32" t="s">
        <v>17</v>
      </c>
      <c r="Y32" t="s">
        <v>14</v>
      </c>
      <c r="Z32">
        <v>5</v>
      </c>
      <c r="AA32">
        <f t="shared" si="0"/>
        <v>5410.5446557079013</v>
      </c>
      <c r="AB32">
        <f t="shared" si="1"/>
        <v>77.463828497841078</v>
      </c>
      <c r="AC32">
        <f t="shared" si="2"/>
        <v>53.571699113703509</v>
      </c>
      <c r="AD32" t="s">
        <v>37</v>
      </c>
      <c r="AE32" t="s">
        <v>27</v>
      </c>
      <c r="AF32" t="s">
        <v>18</v>
      </c>
      <c r="AG32" t="s">
        <v>14</v>
      </c>
      <c r="AH32" t="s">
        <v>17</v>
      </c>
      <c r="AI32" t="s">
        <v>24</v>
      </c>
      <c r="AJ32" t="s">
        <v>14</v>
      </c>
      <c r="AK32" t="s">
        <v>14</v>
      </c>
      <c r="AL32" t="s">
        <v>14</v>
      </c>
      <c r="AM32">
        <f t="shared" si="3"/>
        <v>69.157050655192648</v>
      </c>
      <c r="AN32">
        <f t="shared" si="7"/>
        <v>5860.6493252493638</v>
      </c>
      <c r="AO32">
        <f t="shared" si="8"/>
        <v>4376.3054957950317</v>
      </c>
      <c r="AP32">
        <f t="shared" si="9"/>
        <v>840.60238607471149</v>
      </c>
      <c r="AQ32">
        <f t="shared" si="10"/>
        <v>461.92059456287893</v>
      </c>
      <c r="AR32">
        <f t="shared" si="11"/>
        <v>643.74144337962059</v>
      </c>
      <c r="AS32">
        <f t="shared" si="12"/>
        <v>3.7875918491023408</v>
      </c>
      <c r="AT32">
        <f t="shared" si="13"/>
        <v>23.899704567835773</v>
      </c>
      <c r="AU32">
        <f t="shared" si="14"/>
        <v>9.2394587108508119</v>
      </c>
      <c r="AV32">
        <f t="shared" si="15"/>
        <v>7.8817306569221275</v>
      </c>
      <c r="AW32">
        <f t="shared" si="16"/>
        <v>14.343161302164155</v>
      </c>
      <c r="AX32">
        <f t="shared" si="17"/>
        <v>10.984131751514241</v>
      </c>
      <c r="AY32">
        <f t="shared" si="18"/>
        <v>3846.2521008403378</v>
      </c>
      <c r="AZ32">
        <f t="shared" si="19"/>
        <v>541.4922745941717</v>
      </c>
      <c r="BA32">
        <f t="shared" si="20"/>
        <v>30.852728339526696</v>
      </c>
      <c r="BB32" t="s">
        <v>31</v>
      </c>
      <c r="BC32" t="s">
        <v>31</v>
      </c>
      <c r="BD32">
        <v>132.01</v>
      </c>
      <c r="BE32">
        <v>102.26</v>
      </c>
      <c r="BF32">
        <v>70.72</v>
      </c>
      <c r="BG32">
        <v>31.55</v>
      </c>
      <c r="BH32">
        <v>5</v>
      </c>
      <c r="BI32">
        <v>714246</v>
      </c>
      <c r="BJ32">
        <v>447521</v>
      </c>
      <c r="BK32">
        <v>47236</v>
      </c>
      <c r="BL32">
        <v>23821</v>
      </c>
      <c r="BM32">
        <v>3668</v>
      </c>
      <c r="BN32">
        <v>55373</v>
      </c>
      <c r="BO32">
        <v>3098</v>
      </c>
      <c r="BP32">
        <v>12414</v>
      </c>
      <c r="BQ32">
        <v>6179</v>
      </c>
      <c r="BR32">
        <v>114426</v>
      </c>
      <c r="BS32" t="s">
        <v>21</v>
      </c>
      <c r="BT32" t="s">
        <v>226</v>
      </c>
      <c r="BU32">
        <v>0.1</v>
      </c>
      <c r="BV32">
        <v>8.9</v>
      </c>
      <c r="BW32">
        <v>10.6</v>
      </c>
      <c r="BX32">
        <v>0.6</v>
      </c>
      <c r="BY32">
        <v>152.69999999999999</v>
      </c>
      <c r="BZ32">
        <v>206.6</v>
      </c>
      <c r="CA32">
        <v>2</v>
      </c>
      <c r="CB32">
        <v>2</v>
      </c>
      <c r="CC32">
        <v>0</v>
      </c>
      <c r="CD32">
        <f t="shared" si="21"/>
        <v>0.26089060987415302</v>
      </c>
      <c r="CE32">
        <v>1</v>
      </c>
    </row>
    <row r="33" spans="1:83" x14ac:dyDescent="0.4">
      <c r="A33" t="s">
        <v>980</v>
      </c>
      <c r="B33" t="s">
        <v>20</v>
      </c>
      <c r="C33" t="s">
        <v>73</v>
      </c>
      <c r="D33" t="s">
        <v>82</v>
      </c>
      <c r="E33" t="s">
        <v>20</v>
      </c>
      <c r="F33" t="s">
        <v>22</v>
      </c>
      <c r="G33">
        <v>30</v>
      </c>
      <c r="H33">
        <v>38</v>
      </c>
      <c r="I33">
        <v>22.5</v>
      </c>
      <c r="J33">
        <f t="shared" si="4"/>
        <v>7.5</v>
      </c>
      <c r="K33">
        <f t="shared" si="5"/>
        <v>15.5</v>
      </c>
      <c r="L33">
        <v>-8</v>
      </c>
      <c r="M33">
        <v>22.25</v>
      </c>
      <c r="N33" t="s">
        <v>230</v>
      </c>
      <c r="O33" t="s">
        <v>231</v>
      </c>
      <c r="P33" t="s">
        <v>13</v>
      </c>
      <c r="Q33">
        <v>0</v>
      </c>
      <c r="R33" t="s">
        <v>26</v>
      </c>
      <c r="S33" t="s">
        <v>15</v>
      </c>
      <c r="T33" t="s">
        <v>17</v>
      </c>
      <c r="U33">
        <v>35</v>
      </c>
      <c r="V33" t="s">
        <v>17</v>
      </c>
      <c r="W33">
        <f t="shared" si="6"/>
        <v>1</v>
      </c>
      <c r="X33" t="s">
        <v>14</v>
      </c>
      <c r="Y33" t="s">
        <v>14</v>
      </c>
      <c r="Z33">
        <v>5</v>
      </c>
      <c r="AA33">
        <f t="shared" si="0"/>
        <v>2030.7984790874525</v>
      </c>
      <c r="AB33">
        <f t="shared" si="1"/>
        <v>37.452471482889734</v>
      </c>
      <c r="AC33">
        <f t="shared" si="2"/>
        <v>6.4638783269961984</v>
      </c>
      <c r="AD33" t="s">
        <v>15</v>
      </c>
      <c r="AE33" t="s">
        <v>37</v>
      </c>
      <c r="AF33" t="s">
        <v>24</v>
      </c>
      <c r="AG33" t="s">
        <v>14</v>
      </c>
      <c r="AH33" t="s">
        <v>14</v>
      </c>
      <c r="AI33" t="s">
        <v>18</v>
      </c>
      <c r="AJ33" t="s">
        <v>14</v>
      </c>
      <c r="AK33" t="s">
        <v>14</v>
      </c>
      <c r="AL33" t="s">
        <v>14</v>
      </c>
      <c r="AM33">
        <f t="shared" si="3"/>
        <v>17.258883248730964</v>
      </c>
      <c r="AN33">
        <f t="shared" si="7"/>
        <v>3855.5837563451778</v>
      </c>
      <c r="AO33">
        <f t="shared" si="8"/>
        <v>1206.3451776649747</v>
      </c>
      <c r="AP33">
        <f t="shared" si="9"/>
        <v>536.54822335025381</v>
      </c>
      <c r="AQ33">
        <f t="shared" si="10"/>
        <v>1957.8680203045685</v>
      </c>
      <c r="AR33">
        <f t="shared" si="11"/>
        <v>2112.6903553299494</v>
      </c>
      <c r="AS33">
        <f t="shared" si="12"/>
        <v>26.806083650190114</v>
      </c>
      <c r="AT33">
        <f t="shared" si="13"/>
        <v>30.893536121673005</v>
      </c>
      <c r="AU33">
        <f t="shared" si="14"/>
        <v>9.6570337699953921</v>
      </c>
      <c r="AV33">
        <f t="shared" si="15"/>
        <v>50.780067145020077</v>
      </c>
      <c r="AW33">
        <f t="shared" si="16"/>
        <v>13.91613455335396</v>
      </c>
      <c r="AX33">
        <f t="shared" si="17"/>
        <v>54.795602659469424</v>
      </c>
      <c r="AY33">
        <f t="shared" si="18"/>
        <v>935.71428571428567</v>
      </c>
      <c r="AZ33">
        <f t="shared" si="19"/>
        <v>372.33502538071065</v>
      </c>
      <c r="BA33">
        <f t="shared" si="20"/>
        <v>82.487309644670049</v>
      </c>
      <c r="BB33" t="s">
        <v>30</v>
      </c>
      <c r="BC33" t="s">
        <v>30</v>
      </c>
      <c r="BD33">
        <v>10.52</v>
      </c>
      <c r="BE33">
        <v>3.94</v>
      </c>
      <c r="BF33">
        <v>0.68</v>
      </c>
      <c r="BG33">
        <v>3.25</v>
      </c>
      <c r="BH33">
        <v>2.82</v>
      </c>
      <c r="BI33">
        <v>21364</v>
      </c>
      <c r="BJ33">
        <v>4753</v>
      </c>
      <c r="BK33">
        <v>7714</v>
      </c>
      <c r="BL33">
        <v>256</v>
      </c>
      <c r="BM33">
        <v>201</v>
      </c>
      <c r="BN33">
        <v>1467</v>
      </c>
      <c r="BO33">
        <v>190</v>
      </c>
      <c r="BP33">
        <v>432</v>
      </c>
      <c r="BQ33">
        <v>178</v>
      </c>
      <c r="BR33">
        <v>6157</v>
      </c>
      <c r="BS33" t="s">
        <v>21</v>
      </c>
      <c r="BT33" t="s">
        <v>229</v>
      </c>
      <c r="BU33">
        <v>0</v>
      </c>
      <c r="BV33">
        <v>0</v>
      </c>
      <c r="BW33">
        <v>0</v>
      </c>
      <c r="BX33">
        <v>1.6</v>
      </c>
      <c r="BY33">
        <v>12.1</v>
      </c>
      <c r="BZ33">
        <v>12.3</v>
      </c>
      <c r="CA33">
        <v>3</v>
      </c>
      <c r="CB33">
        <v>3</v>
      </c>
      <c r="CC33">
        <v>0</v>
      </c>
      <c r="CD33">
        <f t="shared" si="21"/>
        <v>1.6260162601626105E-2</v>
      </c>
      <c r="CE33">
        <v>1</v>
      </c>
    </row>
    <row r="34" spans="1:83" x14ac:dyDescent="0.4">
      <c r="A34" t="s">
        <v>981</v>
      </c>
      <c r="B34" t="s">
        <v>19</v>
      </c>
      <c r="C34" t="s">
        <v>19</v>
      </c>
      <c r="D34" t="s">
        <v>19</v>
      </c>
      <c r="E34" t="s">
        <v>20</v>
      </c>
      <c r="F34" t="s">
        <v>22</v>
      </c>
      <c r="G34">
        <v>80</v>
      </c>
      <c r="H34">
        <v>88</v>
      </c>
      <c r="I34">
        <v>49</v>
      </c>
      <c r="J34">
        <f t="shared" si="4"/>
        <v>31</v>
      </c>
      <c r="K34">
        <f t="shared" si="5"/>
        <v>39</v>
      </c>
      <c r="L34">
        <v>-8</v>
      </c>
      <c r="M34">
        <v>48.83</v>
      </c>
      <c r="N34" t="s">
        <v>233</v>
      </c>
      <c r="O34" t="s">
        <v>234</v>
      </c>
      <c r="P34" t="s">
        <v>13</v>
      </c>
      <c r="Q34">
        <v>0.5</v>
      </c>
      <c r="R34" t="s">
        <v>26</v>
      </c>
      <c r="S34" t="s">
        <v>15</v>
      </c>
      <c r="T34" t="s">
        <v>17</v>
      </c>
      <c r="U34">
        <v>42.5</v>
      </c>
      <c r="V34" t="s">
        <v>17</v>
      </c>
      <c r="W34">
        <f t="shared" si="6"/>
        <v>1</v>
      </c>
      <c r="X34" t="s">
        <v>14</v>
      </c>
      <c r="Y34" t="s">
        <v>14</v>
      </c>
      <c r="Z34">
        <v>15</v>
      </c>
      <c r="AA34">
        <f t="shared" si="0"/>
        <v>7290.4069767441861</v>
      </c>
      <c r="AB34">
        <f t="shared" si="1"/>
        <v>72.093023255813961</v>
      </c>
      <c r="AC34">
        <f t="shared" si="2"/>
        <v>43.895348837209305</v>
      </c>
      <c r="AD34" t="s">
        <v>15</v>
      </c>
      <c r="AE34" t="s">
        <v>15</v>
      </c>
      <c r="AF34" t="s">
        <v>18</v>
      </c>
      <c r="AG34" t="s">
        <v>14</v>
      </c>
      <c r="AH34" t="s">
        <v>14</v>
      </c>
      <c r="AI34" t="s">
        <v>18</v>
      </c>
      <c r="AJ34" t="s">
        <v>14</v>
      </c>
      <c r="AK34" t="s">
        <v>14</v>
      </c>
      <c r="AL34" t="s">
        <v>14</v>
      </c>
      <c r="AM34">
        <f t="shared" si="3"/>
        <v>60.887096774193552</v>
      </c>
      <c r="AN34">
        <f t="shared" si="7"/>
        <v>8015.7258064516127</v>
      </c>
      <c r="AO34">
        <f t="shared" si="8"/>
        <v>4937.9032258064517</v>
      </c>
      <c r="AP34">
        <f t="shared" si="9"/>
        <v>1261.6935483870968</v>
      </c>
      <c r="AQ34">
        <f t="shared" si="10"/>
        <v>690.72580645161293</v>
      </c>
      <c r="AR34">
        <f t="shared" si="11"/>
        <v>1816.1290322580646</v>
      </c>
      <c r="AS34">
        <f t="shared" si="12"/>
        <v>0</v>
      </c>
      <c r="AT34">
        <f t="shared" si="13"/>
        <v>27.906976744186046</v>
      </c>
      <c r="AU34">
        <f t="shared" si="14"/>
        <v>11.766185421801902</v>
      </c>
      <c r="AV34">
        <f t="shared" si="15"/>
        <v>8.6171336586347405</v>
      </c>
      <c r="AW34">
        <f t="shared" si="16"/>
        <v>15.740228381709342</v>
      </c>
      <c r="AX34">
        <f t="shared" si="17"/>
        <v>22.657075305598873</v>
      </c>
      <c r="AY34">
        <f t="shared" si="18"/>
        <v>5406.25</v>
      </c>
      <c r="AZ34">
        <f t="shared" si="19"/>
        <v>943.14516129032256</v>
      </c>
      <c r="BA34">
        <f t="shared" si="20"/>
        <v>38.70967741935484</v>
      </c>
      <c r="BB34" t="s">
        <v>16</v>
      </c>
      <c r="BC34" t="s">
        <v>16</v>
      </c>
      <c r="BD34">
        <v>3.44</v>
      </c>
      <c r="BE34">
        <v>2.48</v>
      </c>
      <c r="BF34">
        <v>1.51</v>
      </c>
      <c r="BG34">
        <v>0.96</v>
      </c>
      <c r="BH34">
        <v>0</v>
      </c>
      <c r="BI34">
        <v>25079</v>
      </c>
      <c r="BJ34">
        <v>12246</v>
      </c>
      <c r="BK34">
        <v>1713</v>
      </c>
      <c r="BL34">
        <v>376</v>
      </c>
      <c r="BM34">
        <v>303</v>
      </c>
      <c r="BN34">
        <v>2339</v>
      </c>
      <c r="BO34">
        <v>111</v>
      </c>
      <c r="BP34">
        <v>362</v>
      </c>
      <c r="BQ34">
        <v>2429</v>
      </c>
      <c r="BR34">
        <v>5190</v>
      </c>
      <c r="BS34" t="s">
        <v>21</v>
      </c>
      <c r="BT34" t="s">
        <v>147</v>
      </c>
      <c r="BU34">
        <v>0</v>
      </c>
      <c r="BV34">
        <v>2.9</v>
      </c>
      <c r="BW34">
        <v>0</v>
      </c>
      <c r="BX34">
        <v>19.2</v>
      </c>
      <c r="BY34">
        <v>3.3</v>
      </c>
      <c r="BZ34">
        <v>4.3</v>
      </c>
      <c r="CA34">
        <v>1</v>
      </c>
      <c r="CB34">
        <v>1</v>
      </c>
      <c r="CC34">
        <v>0</v>
      </c>
      <c r="CD34">
        <f t="shared" si="21"/>
        <v>0.23255813953488369</v>
      </c>
      <c r="CE34">
        <v>1</v>
      </c>
    </row>
    <row r="35" spans="1:83" x14ac:dyDescent="0.4">
      <c r="A35" t="s">
        <v>982</v>
      </c>
      <c r="B35" t="s">
        <v>20</v>
      </c>
      <c r="C35" t="s">
        <v>73</v>
      </c>
      <c r="D35" t="s">
        <v>82</v>
      </c>
      <c r="E35" t="s">
        <v>20</v>
      </c>
      <c r="F35" t="s">
        <v>12</v>
      </c>
      <c r="G35">
        <v>40</v>
      </c>
      <c r="H35">
        <v>45</v>
      </c>
      <c r="I35">
        <v>58</v>
      </c>
      <c r="J35">
        <f t="shared" si="4"/>
        <v>-18</v>
      </c>
      <c r="K35">
        <f t="shared" si="5"/>
        <v>-13</v>
      </c>
      <c r="L35">
        <v>-5</v>
      </c>
      <c r="M35">
        <v>57.92</v>
      </c>
      <c r="N35" t="s">
        <v>236</v>
      </c>
      <c r="O35" t="s">
        <v>237</v>
      </c>
      <c r="P35" t="s">
        <v>13</v>
      </c>
      <c r="Q35">
        <v>0.2</v>
      </c>
      <c r="R35" t="s">
        <v>13</v>
      </c>
      <c r="S35" t="s">
        <v>15</v>
      </c>
      <c r="T35" t="s">
        <v>14</v>
      </c>
      <c r="U35">
        <v>2.5</v>
      </c>
      <c r="V35" t="s">
        <v>14</v>
      </c>
      <c r="W35">
        <f t="shared" si="6"/>
        <v>1</v>
      </c>
      <c r="X35" t="s">
        <v>17</v>
      </c>
      <c r="Y35" t="s">
        <v>14</v>
      </c>
      <c r="Z35">
        <v>0</v>
      </c>
      <c r="AA35">
        <f t="shared" si="0"/>
        <v>2013.2935705620703</v>
      </c>
      <c r="AB35">
        <f t="shared" si="1"/>
        <v>56.641730691467849</v>
      </c>
      <c r="AC35">
        <f t="shared" si="2"/>
        <v>26.799433885968458</v>
      </c>
      <c r="AD35" t="s">
        <v>15</v>
      </c>
      <c r="AE35" t="s">
        <v>15</v>
      </c>
      <c r="AF35" t="s">
        <v>24</v>
      </c>
      <c r="AG35" t="s">
        <v>14</v>
      </c>
      <c r="AH35" t="s">
        <v>14</v>
      </c>
      <c r="AI35" t="s">
        <v>14</v>
      </c>
      <c r="AJ35" t="s">
        <v>14</v>
      </c>
      <c r="AK35" t="s">
        <v>14</v>
      </c>
      <c r="AL35" t="s">
        <v>14</v>
      </c>
      <c r="AM35">
        <f t="shared" si="3"/>
        <v>47.31393896127075</v>
      </c>
      <c r="AN35">
        <f t="shared" si="7"/>
        <v>3009.2807424593966</v>
      </c>
      <c r="AO35">
        <f t="shared" si="8"/>
        <v>2058.7631625914687</v>
      </c>
      <c r="AP35">
        <f t="shared" si="9"/>
        <v>122.88059967874352</v>
      </c>
      <c r="AQ35">
        <f t="shared" si="10"/>
        <v>728.03855077636979</v>
      </c>
      <c r="AR35">
        <f t="shared" si="11"/>
        <v>827.63698018918433</v>
      </c>
      <c r="AS35">
        <f t="shared" si="12"/>
        <v>5.0545895673271328E-2</v>
      </c>
      <c r="AT35">
        <f t="shared" si="13"/>
        <v>29.837242215932065</v>
      </c>
      <c r="AU35">
        <f t="shared" si="14"/>
        <v>1.6487752802324891</v>
      </c>
      <c r="AV35">
        <f t="shared" si="15"/>
        <v>24.193108356562483</v>
      </c>
      <c r="AW35">
        <f t="shared" si="16"/>
        <v>4.0833876994247076</v>
      </c>
      <c r="AX35">
        <f t="shared" si="17"/>
        <v>27.502817152007591</v>
      </c>
      <c r="AY35">
        <f t="shared" si="18"/>
        <v>711.63441361622756</v>
      </c>
      <c r="AZ35">
        <f t="shared" si="19"/>
        <v>49.616276994467249</v>
      </c>
      <c r="BA35">
        <f t="shared" si="20"/>
        <v>52.677137247902905</v>
      </c>
      <c r="BB35" t="s">
        <v>16</v>
      </c>
      <c r="BC35" t="s">
        <v>16</v>
      </c>
      <c r="BD35">
        <v>197.84</v>
      </c>
      <c r="BE35">
        <v>112.06</v>
      </c>
      <c r="BF35">
        <v>53.02</v>
      </c>
      <c r="BG35">
        <v>59.03</v>
      </c>
      <c r="BH35">
        <v>0.1</v>
      </c>
      <c r="BI35">
        <v>398310</v>
      </c>
      <c r="BJ35">
        <v>230705</v>
      </c>
      <c r="BK35">
        <v>81584</v>
      </c>
      <c r="BL35">
        <v>6747</v>
      </c>
      <c r="BM35">
        <v>530</v>
      </c>
      <c r="BN35">
        <v>5560</v>
      </c>
      <c r="BO35">
        <v>933</v>
      </c>
      <c r="BP35">
        <v>6852</v>
      </c>
      <c r="BQ35">
        <v>4309</v>
      </c>
      <c r="BR35">
        <v>61044</v>
      </c>
      <c r="BS35" t="s">
        <v>21</v>
      </c>
      <c r="BT35" t="s">
        <v>235</v>
      </c>
      <c r="BU35">
        <v>0</v>
      </c>
      <c r="BV35">
        <v>0.1</v>
      </c>
      <c r="BW35">
        <v>0</v>
      </c>
      <c r="BX35">
        <v>0</v>
      </c>
      <c r="BY35">
        <v>239.8</v>
      </c>
      <c r="BZ35">
        <v>240.9</v>
      </c>
      <c r="CA35">
        <v>1</v>
      </c>
      <c r="CB35">
        <v>1</v>
      </c>
      <c r="CC35">
        <v>0</v>
      </c>
      <c r="CD35">
        <f t="shared" si="21"/>
        <v>4.5662100456620447E-3</v>
      </c>
      <c r="CE35">
        <v>1</v>
      </c>
    </row>
    <row r="36" spans="1:83" x14ac:dyDescent="0.4">
      <c r="A36" t="s">
        <v>983</v>
      </c>
      <c r="B36" t="s">
        <v>20</v>
      </c>
      <c r="C36" t="s">
        <v>73</v>
      </c>
      <c r="D36" t="s">
        <v>82</v>
      </c>
      <c r="E36" t="s">
        <v>20</v>
      </c>
      <c r="F36" t="s">
        <v>22</v>
      </c>
      <c r="G36">
        <v>50</v>
      </c>
      <c r="H36">
        <v>39</v>
      </c>
      <c r="I36">
        <v>37</v>
      </c>
      <c r="J36">
        <f t="shared" si="4"/>
        <v>13</v>
      </c>
      <c r="K36">
        <f t="shared" si="5"/>
        <v>2</v>
      </c>
      <c r="L36">
        <v>11</v>
      </c>
      <c r="M36">
        <v>36.81</v>
      </c>
      <c r="N36" t="s">
        <v>239</v>
      </c>
      <c r="O36" t="s">
        <v>240</v>
      </c>
      <c r="P36" t="s">
        <v>13</v>
      </c>
      <c r="Q36">
        <v>0</v>
      </c>
      <c r="R36" t="s">
        <v>13</v>
      </c>
      <c r="S36" t="s">
        <v>15</v>
      </c>
      <c r="T36" t="s">
        <v>14</v>
      </c>
      <c r="U36">
        <v>2.5</v>
      </c>
      <c r="V36" t="s">
        <v>14</v>
      </c>
      <c r="W36">
        <f t="shared" si="6"/>
        <v>1</v>
      </c>
      <c r="X36" t="s">
        <v>14</v>
      </c>
      <c r="Y36" t="s">
        <v>14</v>
      </c>
      <c r="Z36">
        <v>0</v>
      </c>
      <c r="AA36">
        <f t="shared" si="0"/>
        <v>4776.7857142857147</v>
      </c>
      <c r="AB36">
        <f t="shared" si="1"/>
        <v>93.00595238095238</v>
      </c>
      <c r="AC36">
        <f t="shared" si="2"/>
        <v>34.300595238095241</v>
      </c>
      <c r="AD36" t="s">
        <v>15</v>
      </c>
      <c r="AE36" t="s">
        <v>15</v>
      </c>
      <c r="AF36" t="s">
        <v>24</v>
      </c>
      <c r="AG36" t="s">
        <v>14</v>
      </c>
      <c r="AH36" t="s">
        <v>14</v>
      </c>
      <c r="AI36" t="s">
        <v>18</v>
      </c>
      <c r="AJ36" t="s">
        <v>14</v>
      </c>
      <c r="AK36" t="s">
        <v>14</v>
      </c>
      <c r="AL36" t="s">
        <v>14</v>
      </c>
      <c r="AM36">
        <f t="shared" si="3"/>
        <v>36.880000000000003</v>
      </c>
      <c r="AN36">
        <f t="shared" si="7"/>
        <v>4993.84</v>
      </c>
      <c r="AO36">
        <f t="shared" si="8"/>
        <v>1890.8</v>
      </c>
      <c r="AP36">
        <f t="shared" si="9"/>
        <v>754.12</v>
      </c>
      <c r="AQ36">
        <f t="shared" si="10"/>
        <v>2124.2800000000002</v>
      </c>
      <c r="AR36">
        <f t="shared" si="11"/>
        <v>2348.92</v>
      </c>
      <c r="AS36">
        <f t="shared" si="12"/>
        <v>0.11160714285714286</v>
      </c>
      <c r="AT36">
        <f t="shared" si="13"/>
        <v>58.705357142857146</v>
      </c>
      <c r="AU36">
        <f t="shared" si="14"/>
        <v>11.413261137721673</v>
      </c>
      <c r="AV36">
        <f t="shared" si="15"/>
        <v>42.538006824407667</v>
      </c>
      <c r="AW36">
        <f t="shared" si="16"/>
        <v>15.10100443746696</v>
      </c>
      <c r="AX36">
        <f t="shared" si="17"/>
        <v>47.036348781699054</v>
      </c>
      <c r="AY36">
        <f t="shared" si="18"/>
        <v>1857.9787234042562</v>
      </c>
      <c r="AZ36">
        <f t="shared" si="19"/>
        <v>569.96</v>
      </c>
      <c r="BA36">
        <f t="shared" si="20"/>
        <v>63.12</v>
      </c>
      <c r="BB36" t="s">
        <v>29</v>
      </c>
      <c r="BC36" t="s">
        <v>29</v>
      </c>
      <c r="BD36">
        <v>26.88</v>
      </c>
      <c r="BE36">
        <v>25</v>
      </c>
      <c r="BF36">
        <v>9.2200000000000006</v>
      </c>
      <c r="BG36">
        <v>15.78</v>
      </c>
      <c r="BH36">
        <v>0.03</v>
      </c>
      <c r="BI36">
        <v>128400</v>
      </c>
      <c r="BJ36">
        <v>47270</v>
      </c>
      <c r="BK36">
        <v>53107</v>
      </c>
      <c r="BL36">
        <v>1782</v>
      </c>
      <c r="BM36">
        <v>1657</v>
      </c>
      <c r="BN36">
        <v>14249</v>
      </c>
      <c r="BO36">
        <v>1165</v>
      </c>
      <c r="BP36">
        <v>5289</v>
      </c>
      <c r="BQ36">
        <v>327</v>
      </c>
      <c r="BR36">
        <v>3493</v>
      </c>
      <c r="BS36" t="s">
        <v>21</v>
      </c>
      <c r="BT36" t="s">
        <v>238</v>
      </c>
      <c r="BU36">
        <v>0</v>
      </c>
      <c r="BV36">
        <v>0</v>
      </c>
      <c r="BW36">
        <v>0</v>
      </c>
      <c r="BX36">
        <v>0.3</v>
      </c>
      <c r="BY36">
        <v>28.5</v>
      </c>
      <c r="BZ36">
        <v>28.6</v>
      </c>
      <c r="CA36">
        <v>5</v>
      </c>
      <c r="CB36">
        <v>5</v>
      </c>
      <c r="CC36">
        <v>0</v>
      </c>
      <c r="CD36">
        <f t="shared" si="21"/>
        <v>3.4965034965035446E-3</v>
      </c>
      <c r="CE36">
        <v>1</v>
      </c>
    </row>
    <row r="37" spans="1:83" x14ac:dyDescent="0.4">
      <c r="A37" t="s">
        <v>984</v>
      </c>
      <c r="B37" t="s">
        <v>20</v>
      </c>
      <c r="C37" t="s">
        <v>73</v>
      </c>
      <c r="D37" t="s">
        <v>82</v>
      </c>
      <c r="E37" t="s">
        <v>20</v>
      </c>
      <c r="F37" t="s">
        <v>12</v>
      </c>
      <c r="G37">
        <v>50</v>
      </c>
      <c r="H37">
        <v>52</v>
      </c>
      <c r="I37">
        <v>40</v>
      </c>
      <c r="J37">
        <f t="shared" si="4"/>
        <v>10</v>
      </c>
      <c r="K37">
        <f t="shared" si="5"/>
        <v>12</v>
      </c>
      <c r="L37">
        <v>-2</v>
      </c>
      <c r="M37">
        <v>39.770000000000003</v>
      </c>
      <c r="N37" t="s">
        <v>241</v>
      </c>
      <c r="O37" t="s">
        <v>242</v>
      </c>
      <c r="P37" t="s">
        <v>13</v>
      </c>
      <c r="Q37">
        <v>0</v>
      </c>
      <c r="R37" t="s">
        <v>13</v>
      </c>
      <c r="S37" t="s">
        <v>15</v>
      </c>
      <c r="T37" t="s">
        <v>14</v>
      </c>
      <c r="U37">
        <v>0</v>
      </c>
      <c r="V37" t="s">
        <v>14</v>
      </c>
      <c r="W37">
        <f t="shared" si="6"/>
        <v>1</v>
      </c>
      <c r="X37" t="s">
        <v>17</v>
      </c>
      <c r="Y37" t="s">
        <v>14</v>
      </c>
      <c r="Z37">
        <v>0</v>
      </c>
      <c r="AA37">
        <f t="shared" si="0"/>
        <v>1341.6426090958537</v>
      </c>
      <c r="AB37">
        <f t="shared" si="1"/>
        <v>37.860340571524205</v>
      </c>
      <c r="AC37">
        <f t="shared" si="2"/>
        <v>10.581147232333375</v>
      </c>
      <c r="AD37" t="s">
        <v>15</v>
      </c>
      <c r="AE37" t="s">
        <v>15</v>
      </c>
      <c r="AF37" t="s">
        <v>24</v>
      </c>
      <c r="AG37" t="s">
        <v>14</v>
      </c>
      <c r="AH37" t="s">
        <v>14</v>
      </c>
      <c r="AI37" t="s">
        <v>18</v>
      </c>
      <c r="AJ37" t="s">
        <v>14</v>
      </c>
      <c r="AK37" t="s">
        <v>14</v>
      </c>
      <c r="AL37" t="s">
        <v>14</v>
      </c>
      <c r="AM37">
        <f t="shared" si="3"/>
        <v>27.947839540280697</v>
      </c>
      <c r="AN37">
        <f t="shared" si="7"/>
        <v>2878.8374406011717</v>
      </c>
      <c r="AO37">
        <f t="shared" si="8"/>
        <v>1409.4264559619849</v>
      </c>
      <c r="AP37">
        <f t="shared" si="9"/>
        <v>516.26699082771574</v>
      </c>
      <c r="AQ37">
        <f t="shared" si="10"/>
        <v>878.49486131064214</v>
      </c>
      <c r="AR37">
        <f t="shared" si="11"/>
        <v>953.14399381147098</v>
      </c>
      <c r="AS37">
        <f t="shared" si="12"/>
        <v>7.1126731099117199E-2</v>
      </c>
      <c r="AT37">
        <f t="shared" si="13"/>
        <v>27.275009413832059</v>
      </c>
      <c r="AU37">
        <f t="shared" si="14"/>
        <v>13.157470461332945</v>
      </c>
      <c r="AV37">
        <f t="shared" si="15"/>
        <v>30.515611924485423</v>
      </c>
      <c r="AW37">
        <f t="shared" si="16"/>
        <v>17.933176203235242</v>
      </c>
      <c r="AX37">
        <f t="shared" si="17"/>
        <v>33.108642411307223</v>
      </c>
      <c r="AY37">
        <f t="shared" si="18"/>
        <v>404.01966065176413</v>
      </c>
      <c r="AZ37">
        <f t="shared" si="19"/>
        <v>378.78218587689247</v>
      </c>
      <c r="BA37">
        <f t="shared" si="20"/>
        <v>72.041109514863521</v>
      </c>
      <c r="BB37" t="s">
        <v>16</v>
      </c>
      <c r="BC37" t="s">
        <v>16</v>
      </c>
      <c r="BD37">
        <v>239.01</v>
      </c>
      <c r="BE37">
        <v>90.49</v>
      </c>
      <c r="BF37">
        <v>25.29</v>
      </c>
      <c r="BG37">
        <v>65.19</v>
      </c>
      <c r="BH37">
        <v>0.17</v>
      </c>
      <c r="BI37">
        <v>320666</v>
      </c>
      <c r="BJ37">
        <v>127539</v>
      </c>
      <c r="BK37">
        <v>79495</v>
      </c>
      <c r="BL37">
        <v>9146</v>
      </c>
      <c r="BM37">
        <v>2724</v>
      </c>
      <c r="BN37">
        <v>34276</v>
      </c>
      <c r="BO37">
        <v>571</v>
      </c>
      <c r="BP37">
        <v>5686</v>
      </c>
      <c r="BQ37">
        <v>1069</v>
      </c>
      <c r="BR37">
        <v>60005</v>
      </c>
      <c r="BS37" t="s">
        <v>21</v>
      </c>
      <c r="BT37" t="s">
        <v>179</v>
      </c>
      <c r="BU37">
        <v>0</v>
      </c>
      <c r="BV37">
        <v>0</v>
      </c>
      <c r="BW37">
        <v>0.4</v>
      </c>
      <c r="BX37">
        <v>0</v>
      </c>
      <c r="BY37">
        <v>264.2</v>
      </c>
      <c r="BZ37">
        <v>265.2</v>
      </c>
      <c r="CA37">
        <v>1</v>
      </c>
      <c r="CB37">
        <v>1</v>
      </c>
      <c r="CC37">
        <v>0</v>
      </c>
      <c r="CD37">
        <f t="shared" si="21"/>
        <v>3.7707390648566985E-3</v>
      </c>
      <c r="CE37">
        <v>1</v>
      </c>
    </row>
    <row r="38" spans="1:83" x14ac:dyDescent="0.4">
      <c r="A38" t="s">
        <v>985</v>
      </c>
      <c r="B38" t="s">
        <v>19</v>
      </c>
      <c r="C38" t="s">
        <v>19</v>
      </c>
      <c r="D38" t="s">
        <v>19</v>
      </c>
      <c r="E38" t="s">
        <v>20</v>
      </c>
      <c r="F38" t="s">
        <v>22</v>
      </c>
      <c r="G38">
        <v>80</v>
      </c>
      <c r="H38">
        <v>57</v>
      </c>
      <c r="I38">
        <v>21.5</v>
      </c>
      <c r="J38">
        <f t="shared" si="4"/>
        <v>58.5</v>
      </c>
      <c r="K38">
        <f t="shared" si="5"/>
        <v>35.5</v>
      </c>
      <c r="L38">
        <v>23</v>
      </c>
      <c r="M38">
        <v>21.61</v>
      </c>
      <c r="N38" t="s">
        <v>244</v>
      </c>
      <c r="O38" t="s">
        <v>245</v>
      </c>
      <c r="P38" t="s">
        <v>13</v>
      </c>
      <c r="Q38">
        <v>2.2999999999999998</v>
      </c>
      <c r="R38" t="s">
        <v>26</v>
      </c>
      <c r="S38" t="s">
        <v>15</v>
      </c>
      <c r="T38" t="s">
        <v>17</v>
      </c>
      <c r="U38">
        <v>7.5</v>
      </c>
      <c r="V38" t="s">
        <v>14</v>
      </c>
      <c r="W38">
        <f t="shared" si="6"/>
        <v>1</v>
      </c>
      <c r="X38" t="s">
        <v>14</v>
      </c>
      <c r="Y38" t="s">
        <v>14</v>
      </c>
      <c r="Z38">
        <v>5</v>
      </c>
      <c r="AA38">
        <f t="shared" si="0"/>
        <v>4799.060297572436</v>
      </c>
      <c r="AB38">
        <f t="shared" si="1"/>
        <v>59.749412685982776</v>
      </c>
      <c r="AC38">
        <f t="shared" si="2"/>
        <v>23.962411902897415</v>
      </c>
      <c r="AD38" t="s">
        <v>15</v>
      </c>
      <c r="AE38" t="s">
        <v>27</v>
      </c>
      <c r="AF38" t="s">
        <v>18</v>
      </c>
      <c r="AG38" t="s">
        <v>14</v>
      </c>
      <c r="AH38" t="s">
        <v>17</v>
      </c>
      <c r="AI38" t="s">
        <v>14</v>
      </c>
      <c r="AJ38" t="s">
        <v>14</v>
      </c>
      <c r="AK38" t="s">
        <v>14</v>
      </c>
      <c r="AL38" t="s">
        <v>14</v>
      </c>
      <c r="AM38">
        <f t="shared" si="3"/>
        <v>40.104849279161208</v>
      </c>
      <c r="AN38">
        <f t="shared" si="7"/>
        <v>4680.7339449541287</v>
      </c>
      <c r="AO38">
        <f t="shared" si="8"/>
        <v>1736.0419397116646</v>
      </c>
      <c r="AP38">
        <f t="shared" si="9"/>
        <v>1342.4639580602884</v>
      </c>
      <c r="AQ38">
        <f t="shared" si="10"/>
        <v>731.97903014416772</v>
      </c>
      <c r="AR38">
        <f t="shared" si="11"/>
        <v>1602.2280471821757</v>
      </c>
      <c r="AS38">
        <f t="shared" si="12"/>
        <v>1.1746280344557558</v>
      </c>
      <c r="AT38">
        <f t="shared" si="13"/>
        <v>35.787000783085361</v>
      </c>
      <c r="AU38">
        <f t="shared" si="14"/>
        <v>16.811334490675925</v>
      </c>
      <c r="AV38">
        <f t="shared" si="15"/>
        <v>15.638125105000841</v>
      </c>
      <c r="AW38">
        <f t="shared" si="16"/>
        <v>28.68062944503556</v>
      </c>
      <c r="AX38">
        <f t="shared" si="17"/>
        <v>34.230273842190741</v>
      </c>
      <c r="AY38">
        <f t="shared" si="18"/>
        <v>4953.5019455252923</v>
      </c>
      <c r="AZ38">
        <f t="shared" si="19"/>
        <v>786.89384010484935</v>
      </c>
      <c r="BA38">
        <f t="shared" si="20"/>
        <v>59.895150720838792</v>
      </c>
      <c r="BB38" t="s">
        <v>30</v>
      </c>
      <c r="BC38" t="s">
        <v>30</v>
      </c>
      <c r="BD38">
        <v>12.77</v>
      </c>
      <c r="BE38">
        <v>7.63</v>
      </c>
      <c r="BF38">
        <v>3.06</v>
      </c>
      <c r="BG38">
        <v>4.57</v>
      </c>
      <c r="BH38">
        <v>0.15</v>
      </c>
      <c r="BI38">
        <v>61284</v>
      </c>
      <c r="BJ38">
        <v>13246</v>
      </c>
      <c r="BK38">
        <v>5585</v>
      </c>
      <c r="BL38">
        <v>3142</v>
      </c>
      <c r="BM38">
        <v>412</v>
      </c>
      <c r="BN38">
        <v>6004</v>
      </c>
      <c r="BO38">
        <v>685</v>
      </c>
      <c r="BP38">
        <v>1240</v>
      </c>
      <c r="BQ38">
        <v>5400</v>
      </c>
      <c r="BR38">
        <v>25461</v>
      </c>
      <c r="BS38" t="s">
        <v>21</v>
      </c>
      <c r="BT38" t="s">
        <v>243</v>
      </c>
      <c r="BU38">
        <v>0</v>
      </c>
      <c r="BV38">
        <v>0.2</v>
      </c>
      <c r="BW38">
        <v>0</v>
      </c>
      <c r="BX38">
        <v>0.8</v>
      </c>
      <c r="BY38">
        <v>14</v>
      </c>
      <c r="BZ38">
        <v>14.5</v>
      </c>
      <c r="CA38">
        <v>3</v>
      </c>
      <c r="CB38">
        <v>3</v>
      </c>
      <c r="CC38">
        <v>0</v>
      </c>
      <c r="CD38">
        <f t="shared" si="21"/>
        <v>3.4482758620689613E-2</v>
      </c>
      <c r="CE38">
        <v>1</v>
      </c>
    </row>
    <row r="39" spans="1:83" x14ac:dyDescent="0.4">
      <c r="A39" t="s">
        <v>986</v>
      </c>
      <c r="B39" t="s">
        <v>19</v>
      </c>
      <c r="C39" t="s">
        <v>19</v>
      </c>
      <c r="D39" t="s">
        <v>19</v>
      </c>
      <c r="E39" t="s">
        <v>20</v>
      </c>
      <c r="F39" t="s">
        <v>22</v>
      </c>
      <c r="G39">
        <v>60</v>
      </c>
      <c r="H39">
        <v>64</v>
      </c>
      <c r="I39">
        <v>50</v>
      </c>
      <c r="J39">
        <f t="shared" si="4"/>
        <v>10</v>
      </c>
      <c r="K39">
        <f t="shared" si="5"/>
        <v>14</v>
      </c>
      <c r="L39">
        <v>-4</v>
      </c>
      <c r="M39">
        <v>49.97</v>
      </c>
      <c r="N39" t="s">
        <v>248</v>
      </c>
      <c r="O39" t="s">
        <v>249</v>
      </c>
      <c r="P39" t="s">
        <v>13</v>
      </c>
      <c r="Q39">
        <v>0.1</v>
      </c>
      <c r="R39" t="s">
        <v>13</v>
      </c>
      <c r="S39" t="s">
        <v>35</v>
      </c>
      <c r="T39" t="s">
        <v>14</v>
      </c>
      <c r="U39">
        <v>2.5</v>
      </c>
      <c r="V39" t="s">
        <v>14</v>
      </c>
      <c r="W39">
        <f t="shared" si="6"/>
        <v>0.66666666666666663</v>
      </c>
      <c r="X39" t="s">
        <v>14</v>
      </c>
      <c r="Y39" t="s">
        <v>14</v>
      </c>
      <c r="Z39">
        <v>0</v>
      </c>
      <c r="AA39">
        <f t="shared" si="0"/>
        <v>5016.7901234567908</v>
      </c>
      <c r="AB39">
        <f t="shared" si="1"/>
        <v>50.370370370370374</v>
      </c>
      <c r="AC39">
        <f t="shared" si="2"/>
        <v>28.641975308641975</v>
      </c>
      <c r="AD39" t="s">
        <v>15</v>
      </c>
      <c r="AE39" t="s">
        <v>15</v>
      </c>
      <c r="AF39" t="s">
        <v>18</v>
      </c>
      <c r="AG39" t="s">
        <v>14</v>
      </c>
      <c r="AH39" t="s">
        <v>14</v>
      </c>
      <c r="AI39" t="s">
        <v>18</v>
      </c>
      <c r="AJ39" t="s">
        <v>14</v>
      </c>
      <c r="AK39" t="s">
        <v>14</v>
      </c>
      <c r="AL39" t="s">
        <v>17</v>
      </c>
      <c r="AM39">
        <f t="shared" si="3"/>
        <v>56.862745098039206</v>
      </c>
      <c r="AN39">
        <f t="shared" si="7"/>
        <v>6528.9215686274511</v>
      </c>
      <c r="AO39">
        <f t="shared" si="8"/>
        <v>4976.4705882352937</v>
      </c>
      <c r="AP39">
        <f t="shared" si="9"/>
        <v>421.56862745098039</v>
      </c>
      <c r="AQ39">
        <f t="shared" si="10"/>
        <v>978.92156862745094</v>
      </c>
      <c r="AR39">
        <f t="shared" si="11"/>
        <v>1130.8823529411764</v>
      </c>
      <c r="AS39">
        <f t="shared" si="12"/>
        <v>0</v>
      </c>
      <c r="AT39">
        <f t="shared" si="13"/>
        <v>21.728395061728396</v>
      </c>
      <c r="AU39">
        <f t="shared" si="14"/>
        <v>3.1233576094301374</v>
      </c>
      <c r="AV39">
        <f t="shared" si="15"/>
        <v>14.993618139499963</v>
      </c>
      <c r="AW39">
        <f t="shared" si="16"/>
        <v>6.4569412118026879</v>
      </c>
      <c r="AX39">
        <f t="shared" si="17"/>
        <v>17.321120204219536</v>
      </c>
      <c r="AY39">
        <f t="shared" si="18"/>
        <v>3477.6119402985078</v>
      </c>
      <c r="AZ39">
        <f t="shared" si="19"/>
        <v>203.92156862745097</v>
      </c>
      <c r="BA39">
        <f t="shared" si="20"/>
        <v>43.13725490196078</v>
      </c>
      <c r="BB39" t="s">
        <v>30</v>
      </c>
      <c r="BC39" t="s">
        <v>31</v>
      </c>
      <c r="BD39">
        <v>4.05</v>
      </c>
      <c r="BE39">
        <v>2.04</v>
      </c>
      <c r="BF39">
        <v>1.1599999999999999</v>
      </c>
      <c r="BG39">
        <v>0.88</v>
      </c>
      <c r="BH39">
        <v>0</v>
      </c>
      <c r="BI39">
        <v>20318</v>
      </c>
      <c r="BJ39">
        <v>10152</v>
      </c>
      <c r="BK39">
        <v>1997</v>
      </c>
      <c r="BL39">
        <v>72</v>
      </c>
      <c r="BM39">
        <v>37</v>
      </c>
      <c r="BN39">
        <v>416</v>
      </c>
      <c r="BO39">
        <v>335</v>
      </c>
      <c r="BP39">
        <v>243</v>
      </c>
      <c r="BQ39">
        <v>67</v>
      </c>
      <c r="BR39">
        <v>6990</v>
      </c>
      <c r="BS39" t="s">
        <v>21</v>
      </c>
      <c r="BT39" t="s">
        <v>147</v>
      </c>
      <c r="BU39">
        <v>0</v>
      </c>
      <c r="BV39">
        <v>1.5</v>
      </c>
      <c r="BW39">
        <v>0</v>
      </c>
      <c r="BX39">
        <v>0.2</v>
      </c>
      <c r="BY39">
        <v>4.8</v>
      </c>
      <c r="BZ39">
        <v>4.9000000000000004</v>
      </c>
      <c r="CA39">
        <v>3</v>
      </c>
      <c r="CB39">
        <v>2</v>
      </c>
      <c r="CC39">
        <v>0</v>
      </c>
      <c r="CD39">
        <f t="shared" si="21"/>
        <v>2.0408163265306256E-2</v>
      </c>
      <c r="CE39">
        <v>0.66666666666666663</v>
      </c>
    </row>
    <row r="40" spans="1:83" x14ac:dyDescent="0.4">
      <c r="A40" t="s">
        <v>987</v>
      </c>
      <c r="B40" t="s">
        <v>19</v>
      </c>
      <c r="C40" t="s">
        <v>19</v>
      </c>
      <c r="D40" t="s">
        <v>19</v>
      </c>
      <c r="E40" t="s">
        <v>20</v>
      </c>
      <c r="F40" t="s">
        <v>22</v>
      </c>
      <c r="G40">
        <v>60</v>
      </c>
      <c r="H40">
        <v>40</v>
      </c>
      <c r="I40">
        <v>49.5</v>
      </c>
      <c r="J40">
        <f t="shared" si="4"/>
        <v>10.5</v>
      </c>
      <c r="K40">
        <f t="shared" si="5"/>
        <v>-9.5</v>
      </c>
      <c r="L40">
        <v>20</v>
      </c>
      <c r="M40">
        <v>49.65</v>
      </c>
      <c r="N40" t="s">
        <v>250</v>
      </c>
      <c r="O40" t="s">
        <v>251</v>
      </c>
      <c r="P40" t="s">
        <v>13</v>
      </c>
      <c r="Q40">
        <v>0.4</v>
      </c>
      <c r="R40" t="s">
        <v>13</v>
      </c>
      <c r="S40" t="s">
        <v>15</v>
      </c>
      <c r="T40" t="s">
        <v>14</v>
      </c>
      <c r="U40">
        <v>0</v>
      </c>
      <c r="V40" t="s">
        <v>14</v>
      </c>
      <c r="W40">
        <f t="shared" si="6"/>
        <v>0.75</v>
      </c>
      <c r="X40" t="s">
        <v>14</v>
      </c>
      <c r="Y40" t="s">
        <v>14</v>
      </c>
      <c r="Z40">
        <v>0</v>
      </c>
      <c r="AA40">
        <f t="shared" si="0"/>
        <v>4977.2845953002616</v>
      </c>
      <c r="AB40">
        <f t="shared" si="1"/>
        <v>84.647519582245437</v>
      </c>
      <c r="AC40">
        <f t="shared" si="2"/>
        <v>36.605744125326375</v>
      </c>
      <c r="AD40" t="s">
        <v>15</v>
      </c>
      <c r="AE40" t="s">
        <v>15</v>
      </c>
      <c r="AF40" t="s">
        <v>18</v>
      </c>
      <c r="AG40" t="s">
        <v>14</v>
      </c>
      <c r="AH40" t="s">
        <v>14</v>
      </c>
      <c r="AI40" t="s">
        <v>41</v>
      </c>
      <c r="AJ40" t="s">
        <v>14</v>
      </c>
      <c r="AK40" t="s">
        <v>14</v>
      </c>
      <c r="AL40" t="s">
        <v>14</v>
      </c>
      <c r="AM40">
        <f t="shared" si="3"/>
        <v>43.244910549043794</v>
      </c>
      <c r="AN40">
        <f t="shared" si="7"/>
        <v>5180.5675508945096</v>
      </c>
      <c r="AO40">
        <f t="shared" si="8"/>
        <v>2919.185687847008</v>
      </c>
      <c r="AP40">
        <f t="shared" si="9"/>
        <v>767.05737199259715</v>
      </c>
      <c r="AQ40">
        <f t="shared" si="10"/>
        <v>1337.5077112893275</v>
      </c>
      <c r="AR40">
        <f t="shared" si="11"/>
        <v>1494.3244910549042</v>
      </c>
      <c r="AS40">
        <f t="shared" si="12"/>
        <v>0.10443864229765014</v>
      </c>
      <c r="AT40">
        <f t="shared" si="13"/>
        <v>48.041775456919055</v>
      </c>
      <c r="AU40">
        <f t="shared" si="14"/>
        <v>11.098276909153697</v>
      </c>
      <c r="AV40">
        <f t="shared" si="15"/>
        <v>25.817783440704002</v>
      </c>
      <c r="AW40">
        <f t="shared" si="16"/>
        <v>14.806435095323719</v>
      </c>
      <c r="AX40">
        <f t="shared" si="17"/>
        <v>28.844802743608369</v>
      </c>
      <c r="AY40">
        <f t="shared" si="18"/>
        <v>3841.1564625850369</v>
      </c>
      <c r="AZ40">
        <f t="shared" si="19"/>
        <v>574.95373226403456</v>
      </c>
      <c r="BA40">
        <f t="shared" si="20"/>
        <v>56.755089450956191</v>
      </c>
      <c r="BB40" t="s">
        <v>28</v>
      </c>
      <c r="BC40" t="s">
        <v>30</v>
      </c>
      <c r="BD40">
        <v>19.149999999999999</v>
      </c>
      <c r="BE40">
        <v>16.21</v>
      </c>
      <c r="BF40">
        <v>7.01</v>
      </c>
      <c r="BG40">
        <v>9.1999999999999993</v>
      </c>
      <c r="BH40">
        <v>0.02</v>
      </c>
      <c r="BI40">
        <v>95315</v>
      </c>
      <c r="BJ40">
        <v>47320</v>
      </c>
      <c r="BK40">
        <v>21681</v>
      </c>
      <c r="BL40">
        <v>1616</v>
      </c>
      <c r="BM40">
        <v>418</v>
      </c>
      <c r="BN40">
        <v>9320</v>
      </c>
      <c r="BO40">
        <v>1080</v>
      </c>
      <c r="BP40">
        <v>2299</v>
      </c>
      <c r="BQ40">
        <v>243</v>
      </c>
      <c r="BR40">
        <v>11293</v>
      </c>
      <c r="BS40" t="s">
        <v>21</v>
      </c>
      <c r="BT40" t="s">
        <v>202</v>
      </c>
      <c r="BU40">
        <v>0</v>
      </c>
      <c r="BV40">
        <v>0.1</v>
      </c>
      <c r="BW40">
        <v>0</v>
      </c>
      <c r="BX40">
        <v>0.1</v>
      </c>
      <c r="BY40">
        <v>21.8</v>
      </c>
      <c r="BZ40">
        <v>22</v>
      </c>
      <c r="CA40">
        <v>4</v>
      </c>
      <c r="CB40">
        <v>3</v>
      </c>
      <c r="CC40">
        <v>0</v>
      </c>
      <c r="CD40">
        <f t="shared" si="21"/>
        <v>9.0909090909090384E-3</v>
      </c>
      <c r="CE40">
        <v>0.75</v>
      </c>
    </row>
    <row r="41" spans="1:83" x14ac:dyDescent="0.4">
      <c r="A41" t="s">
        <v>988</v>
      </c>
      <c r="B41" t="s">
        <v>19</v>
      </c>
      <c r="C41" t="s">
        <v>19</v>
      </c>
      <c r="D41" t="s">
        <v>19</v>
      </c>
      <c r="E41" t="s">
        <v>20</v>
      </c>
      <c r="F41" t="s">
        <v>22</v>
      </c>
      <c r="G41">
        <v>60</v>
      </c>
      <c r="H41">
        <v>67</v>
      </c>
      <c r="I41">
        <v>66.5</v>
      </c>
      <c r="J41">
        <f t="shared" si="4"/>
        <v>-6.5</v>
      </c>
      <c r="K41">
        <f t="shared" si="5"/>
        <v>0.5</v>
      </c>
      <c r="L41">
        <v>-7</v>
      </c>
      <c r="M41">
        <v>66.38</v>
      </c>
      <c r="N41" t="s">
        <v>253</v>
      </c>
      <c r="O41" t="s">
        <v>254</v>
      </c>
      <c r="P41" t="s">
        <v>26</v>
      </c>
      <c r="Q41">
        <v>11</v>
      </c>
      <c r="R41" t="s">
        <v>26</v>
      </c>
      <c r="S41" t="s">
        <v>15</v>
      </c>
      <c r="T41" t="s">
        <v>17</v>
      </c>
      <c r="U41">
        <v>37.5</v>
      </c>
      <c r="V41" t="s">
        <v>17</v>
      </c>
      <c r="W41">
        <f t="shared" si="6"/>
        <v>0.88888888888888884</v>
      </c>
      <c r="X41" t="s">
        <v>14</v>
      </c>
      <c r="Y41" t="s">
        <v>14</v>
      </c>
      <c r="Z41">
        <v>20</v>
      </c>
      <c r="AA41">
        <f t="shared" si="0"/>
        <v>8877.6944704779762</v>
      </c>
      <c r="AB41">
        <f t="shared" si="1"/>
        <v>80.693533270852853</v>
      </c>
      <c r="AC41">
        <f t="shared" si="2"/>
        <v>48.734770384254922</v>
      </c>
      <c r="AD41" t="s">
        <v>15</v>
      </c>
      <c r="AE41" t="s">
        <v>15</v>
      </c>
      <c r="AF41" t="s">
        <v>18</v>
      </c>
      <c r="AG41" t="s">
        <v>14</v>
      </c>
      <c r="AH41" t="s">
        <v>14</v>
      </c>
      <c r="AI41" t="s">
        <v>18</v>
      </c>
      <c r="AJ41" t="s">
        <v>14</v>
      </c>
      <c r="AK41" t="s">
        <v>14</v>
      </c>
      <c r="AL41" t="s">
        <v>17</v>
      </c>
      <c r="AM41">
        <f t="shared" si="3"/>
        <v>60.394889663182347</v>
      </c>
      <c r="AN41">
        <f t="shared" si="7"/>
        <v>9717.0731707317082</v>
      </c>
      <c r="AO41">
        <f t="shared" si="8"/>
        <v>7302.6713124274102</v>
      </c>
      <c r="AP41">
        <f t="shared" si="9"/>
        <v>1204.7619047619048</v>
      </c>
      <c r="AQ41">
        <f t="shared" si="10"/>
        <v>974.44831591173056</v>
      </c>
      <c r="AR41">
        <f t="shared" si="11"/>
        <v>1209.6399535423927</v>
      </c>
      <c r="AS41">
        <f t="shared" si="12"/>
        <v>9.3720712277413312E-2</v>
      </c>
      <c r="AT41">
        <f t="shared" si="13"/>
        <v>31.958762886597938</v>
      </c>
      <c r="AU41">
        <f t="shared" si="14"/>
        <v>7.8301300439854655</v>
      </c>
      <c r="AV41">
        <f t="shared" si="15"/>
        <v>10.028208070376746</v>
      </c>
      <c r="AW41">
        <f t="shared" si="16"/>
        <v>12.398403136354943</v>
      </c>
      <c r="AX41">
        <f t="shared" si="17"/>
        <v>12.448603939567795</v>
      </c>
      <c r="AY41">
        <f t="shared" si="18"/>
        <v>5341.7475728155323</v>
      </c>
      <c r="AZ41">
        <f t="shared" si="19"/>
        <v>760.8594657375146</v>
      </c>
      <c r="BA41">
        <f t="shared" si="20"/>
        <v>39.60511033681766</v>
      </c>
      <c r="BB41" t="s">
        <v>47</v>
      </c>
      <c r="BC41" t="s">
        <v>48</v>
      </c>
      <c r="BD41">
        <v>10.67</v>
      </c>
      <c r="BE41">
        <v>8.61</v>
      </c>
      <c r="BF41">
        <v>5.2</v>
      </c>
      <c r="BG41">
        <v>3.41</v>
      </c>
      <c r="BH41">
        <v>0.01</v>
      </c>
      <c r="BI41">
        <v>94725</v>
      </c>
      <c r="BJ41">
        <v>62876</v>
      </c>
      <c r="BK41">
        <v>8390</v>
      </c>
      <c r="BL41">
        <v>2699</v>
      </c>
      <c r="BM41">
        <v>339</v>
      </c>
      <c r="BN41">
        <v>6551</v>
      </c>
      <c r="BO41">
        <v>784</v>
      </c>
      <c r="BP41">
        <v>660</v>
      </c>
      <c r="BQ41">
        <v>1365</v>
      </c>
      <c r="BR41">
        <v>11004</v>
      </c>
      <c r="BS41" t="s">
        <v>21</v>
      </c>
      <c r="BT41" t="s">
        <v>252</v>
      </c>
      <c r="BU41">
        <v>0</v>
      </c>
      <c r="BV41">
        <v>26.6</v>
      </c>
      <c r="BW41">
        <v>0</v>
      </c>
      <c r="BX41">
        <v>6.2</v>
      </c>
      <c r="BY41">
        <v>10.9</v>
      </c>
      <c r="BZ41">
        <v>19.5</v>
      </c>
      <c r="CA41">
        <v>9</v>
      </c>
      <c r="CB41">
        <v>8</v>
      </c>
      <c r="CC41">
        <v>0</v>
      </c>
      <c r="CD41">
        <f t="shared" si="21"/>
        <v>0.44102564102564101</v>
      </c>
      <c r="CE41">
        <v>0.88888888888888884</v>
      </c>
    </row>
    <row r="42" spans="1:83" x14ac:dyDescent="0.4">
      <c r="A42" t="s">
        <v>989</v>
      </c>
      <c r="B42" t="s">
        <v>49</v>
      </c>
      <c r="C42" t="s">
        <v>82</v>
      </c>
      <c r="D42" t="s">
        <v>82</v>
      </c>
      <c r="E42" t="s">
        <v>20</v>
      </c>
      <c r="F42" t="s">
        <v>22</v>
      </c>
      <c r="G42">
        <v>50</v>
      </c>
      <c r="H42">
        <v>43</v>
      </c>
      <c r="I42">
        <v>52</v>
      </c>
      <c r="J42">
        <f t="shared" si="4"/>
        <v>-2</v>
      </c>
      <c r="K42">
        <f t="shared" si="5"/>
        <v>-9</v>
      </c>
      <c r="L42">
        <v>7</v>
      </c>
      <c r="M42">
        <v>51.96</v>
      </c>
      <c r="N42" t="s">
        <v>257</v>
      </c>
      <c r="O42" t="s">
        <v>258</v>
      </c>
      <c r="P42" t="s">
        <v>13</v>
      </c>
      <c r="Q42">
        <v>0</v>
      </c>
      <c r="R42" t="s">
        <v>26</v>
      </c>
      <c r="S42" t="s">
        <v>15</v>
      </c>
      <c r="T42" t="s">
        <v>14</v>
      </c>
      <c r="U42">
        <v>20</v>
      </c>
      <c r="V42" t="s">
        <v>17</v>
      </c>
      <c r="W42">
        <f t="shared" si="6"/>
        <v>1</v>
      </c>
      <c r="X42" t="s">
        <v>14</v>
      </c>
      <c r="Y42" t="s">
        <v>14</v>
      </c>
      <c r="Z42">
        <v>0</v>
      </c>
      <c r="AA42">
        <f t="shared" si="0"/>
        <v>3511.9008264462809</v>
      </c>
      <c r="AB42">
        <f t="shared" si="1"/>
        <v>82.975206611570243</v>
      </c>
      <c r="AC42">
        <f t="shared" si="2"/>
        <v>35.867768595041326</v>
      </c>
      <c r="AD42" t="s">
        <v>27</v>
      </c>
      <c r="AE42" t="s">
        <v>15</v>
      </c>
      <c r="AF42" t="s">
        <v>24</v>
      </c>
      <c r="AG42" t="s">
        <v>14</v>
      </c>
      <c r="AH42" t="s">
        <v>14</v>
      </c>
      <c r="AI42" t="s">
        <v>18</v>
      </c>
      <c r="AJ42" t="s">
        <v>14</v>
      </c>
      <c r="AK42" t="s">
        <v>14</v>
      </c>
      <c r="AL42" t="s">
        <v>14</v>
      </c>
      <c r="AM42">
        <f t="shared" si="3"/>
        <v>43.227091633466138</v>
      </c>
      <c r="AN42">
        <f t="shared" si="7"/>
        <v>3893.0278884462155</v>
      </c>
      <c r="AO42">
        <f t="shared" si="8"/>
        <v>2199.402390438247</v>
      </c>
      <c r="AP42">
        <f t="shared" si="9"/>
        <v>304.58167330677293</v>
      </c>
      <c r="AQ42">
        <f t="shared" si="10"/>
        <v>1091.4342629482073</v>
      </c>
      <c r="AR42">
        <f t="shared" si="11"/>
        <v>1389.0438247011953</v>
      </c>
      <c r="AS42">
        <f t="shared" si="12"/>
        <v>1.6528925619834711</v>
      </c>
      <c r="AT42">
        <f t="shared" si="13"/>
        <v>47.107438016528924</v>
      </c>
      <c r="AU42">
        <f t="shared" si="14"/>
        <v>4.1907588394821671</v>
      </c>
      <c r="AV42">
        <f t="shared" si="15"/>
        <v>28.035613774753109</v>
      </c>
      <c r="AW42">
        <f t="shared" si="16"/>
        <v>7.8237732180320316</v>
      </c>
      <c r="AX42">
        <f t="shared" si="17"/>
        <v>35.680294734687614</v>
      </c>
      <c r="AY42">
        <f t="shared" si="18"/>
        <v>1650.4854368932035</v>
      </c>
      <c r="AZ42">
        <f t="shared" si="19"/>
        <v>163.14741035856576</v>
      </c>
      <c r="BA42">
        <f t="shared" si="20"/>
        <v>56.772908366533869</v>
      </c>
      <c r="BB42" t="s">
        <v>29</v>
      </c>
      <c r="BC42" t="s">
        <v>29</v>
      </c>
      <c r="BD42">
        <v>6.05</v>
      </c>
      <c r="BE42">
        <v>5.0199999999999996</v>
      </c>
      <c r="BF42">
        <v>2.17</v>
      </c>
      <c r="BG42">
        <v>2.85</v>
      </c>
      <c r="BH42">
        <v>0.1</v>
      </c>
      <c r="BI42">
        <v>21247</v>
      </c>
      <c r="BJ42">
        <v>11041</v>
      </c>
      <c r="BK42">
        <v>5479</v>
      </c>
      <c r="BL42">
        <v>475</v>
      </c>
      <c r="BM42">
        <v>110</v>
      </c>
      <c r="BN42">
        <v>819</v>
      </c>
      <c r="BO42">
        <v>125</v>
      </c>
      <c r="BP42">
        <v>1341</v>
      </c>
      <c r="BQ42">
        <v>153</v>
      </c>
      <c r="BR42">
        <v>1700</v>
      </c>
      <c r="BS42" t="s">
        <v>21</v>
      </c>
      <c r="BT42" t="s">
        <v>130</v>
      </c>
      <c r="BU42">
        <v>0</v>
      </c>
      <c r="BV42">
        <v>0</v>
      </c>
      <c r="BW42">
        <v>0</v>
      </c>
      <c r="BX42">
        <v>0</v>
      </c>
      <c r="BY42">
        <v>7.2</v>
      </c>
      <c r="BZ42">
        <v>7.2</v>
      </c>
      <c r="CA42">
        <v>5</v>
      </c>
      <c r="CB42">
        <v>5</v>
      </c>
      <c r="CC42">
        <v>0</v>
      </c>
      <c r="CD42">
        <f t="shared" si="21"/>
        <v>0</v>
      </c>
      <c r="CE42">
        <v>1</v>
      </c>
    </row>
    <row r="43" spans="1:83" x14ac:dyDescent="0.4">
      <c r="A43" t="s">
        <v>990</v>
      </c>
      <c r="B43" t="s">
        <v>43</v>
      </c>
      <c r="C43" t="s">
        <v>82</v>
      </c>
      <c r="D43" t="s">
        <v>82</v>
      </c>
      <c r="E43" t="s">
        <v>20</v>
      </c>
      <c r="F43" t="s">
        <v>22</v>
      </c>
      <c r="G43">
        <v>80</v>
      </c>
      <c r="H43">
        <v>57</v>
      </c>
      <c r="I43">
        <v>33</v>
      </c>
      <c r="J43">
        <f t="shared" si="4"/>
        <v>47</v>
      </c>
      <c r="K43">
        <f t="shared" si="5"/>
        <v>24</v>
      </c>
      <c r="L43">
        <v>23</v>
      </c>
      <c r="M43">
        <v>33.11</v>
      </c>
      <c r="N43" t="s">
        <v>261</v>
      </c>
      <c r="O43" t="s">
        <v>262</v>
      </c>
      <c r="P43" t="s">
        <v>13</v>
      </c>
      <c r="Q43">
        <v>0.1</v>
      </c>
      <c r="R43" t="s">
        <v>26</v>
      </c>
      <c r="S43" t="s">
        <v>35</v>
      </c>
      <c r="T43" t="s">
        <v>17</v>
      </c>
      <c r="U43">
        <v>2.5</v>
      </c>
      <c r="V43" t="s">
        <v>14</v>
      </c>
      <c r="W43">
        <f t="shared" si="6"/>
        <v>1</v>
      </c>
      <c r="X43" t="s">
        <v>14</v>
      </c>
      <c r="Y43" t="s">
        <v>14</v>
      </c>
      <c r="Z43">
        <v>0</v>
      </c>
      <c r="AA43">
        <f t="shared" si="0"/>
        <v>1195.3655613264082</v>
      </c>
      <c r="AB43">
        <f t="shared" si="1"/>
        <v>8.4298841390331596</v>
      </c>
      <c r="AC43">
        <f t="shared" si="2"/>
        <v>8.070315621254494</v>
      </c>
      <c r="AD43" t="s">
        <v>36</v>
      </c>
      <c r="AE43" t="s">
        <v>15</v>
      </c>
      <c r="AF43" t="s">
        <v>18</v>
      </c>
      <c r="AG43" t="s">
        <v>14</v>
      </c>
      <c r="AH43" t="s">
        <v>14</v>
      </c>
      <c r="AI43" t="s">
        <v>14</v>
      </c>
      <c r="AJ43" t="s">
        <v>14</v>
      </c>
      <c r="AK43" t="s">
        <v>14</v>
      </c>
      <c r="AL43" t="s">
        <v>14</v>
      </c>
      <c r="AM43">
        <f t="shared" si="3"/>
        <v>95.73459715639811</v>
      </c>
      <c r="AN43">
        <f t="shared" si="7"/>
        <v>5422.2748815165878</v>
      </c>
      <c r="AO43">
        <f t="shared" si="8"/>
        <v>4695.2606635071097</v>
      </c>
      <c r="AP43">
        <f t="shared" si="9"/>
        <v>414.21800947867303</v>
      </c>
      <c r="AQ43">
        <f t="shared" si="10"/>
        <v>62.085308056872044</v>
      </c>
      <c r="AR43">
        <f t="shared" si="11"/>
        <v>312.7962085308057</v>
      </c>
      <c r="AS43">
        <f t="shared" si="12"/>
        <v>26.088693567718735</v>
      </c>
      <c r="AT43">
        <f t="shared" si="13"/>
        <v>0.31961646024770274</v>
      </c>
      <c r="AU43">
        <f t="shared" si="14"/>
        <v>2.237566646272179</v>
      </c>
      <c r="AV43">
        <f t="shared" si="15"/>
        <v>1.1450048072720915</v>
      </c>
      <c r="AW43">
        <f t="shared" si="16"/>
        <v>7.6391923782886115</v>
      </c>
      <c r="AX43">
        <f t="shared" si="17"/>
        <v>5.7687265099204614</v>
      </c>
      <c r="AY43">
        <f t="shared" si="18"/>
        <v>806.1082024432809</v>
      </c>
      <c r="AZ43">
        <f t="shared" si="19"/>
        <v>121.32701421800948</v>
      </c>
      <c r="BA43">
        <f t="shared" si="20"/>
        <v>3.7914691943127963</v>
      </c>
      <c r="BB43" t="s">
        <v>30</v>
      </c>
      <c r="BC43" t="s">
        <v>30</v>
      </c>
      <c r="BD43">
        <v>25.03</v>
      </c>
      <c r="BE43">
        <v>2.11</v>
      </c>
      <c r="BF43">
        <v>2.02</v>
      </c>
      <c r="BG43">
        <v>0.08</v>
      </c>
      <c r="BH43">
        <v>6.53</v>
      </c>
      <c r="BI43">
        <v>29920</v>
      </c>
      <c r="BJ43">
        <v>9907</v>
      </c>
      <c r="BK43">
        <v>131</v>
      </c>
      <c r="BL43">
        <v>356</v>
      </c>
      <c r="BM43">
        <v>4</v>
      </c>
      <c r="BN43">
        <v>256</v>
      </c>
      <c r="BO43">
        <v>258</v>
      </c>
      <c r="BP43">
        <v>338</v>
      </c>
      <c r="BQ43">
        <v>191</v>
      </c>
      <c r="BR43">
        <v>18476</v>
      </c>
      <c r="BS43" t="s">
        <v>21</v>
      </c>
      <c r="BT43" t="s">
        <v>194</v>
      </c>
      <c r="BU43">
        <v>0</v>
      </c>
      <c r="BV43">
        <v>0.3</v>
      </c>
      <c r="BW43">
        <v>0.7</v>
      </c>
      <c r="BX43">
        <v>0.1</v>
      </c>
      <c r="BY43">
        <v>28.7</v>
      </c>
      <c r="BZ43">
        <v>29</v>
      </c>
      <c r="CA43">
        <v>3</v>
      </c>
      <c r="CB43">
        <v>3</v>
      </c>
      <c r="CC43">
        <v>0</v>
      </c>
      <c r="CD43">
        <f t="shared" si="21"/>
        <v>1.0344827586206917E-2</v>
      </c>
      <c r="CE43">
        <v>1</v>
      </c>
    </row>
    <row r="44" spans="1:83" x14ac:dyDescent="0.4">
      <c r="A44" t="s">
        <v>991</v>
      </c>
      <c r="B44" t="s">
        <v>20</v>
      </c>
      <c r="C44" t="s">
        <v>73</v>
      </c>
      <c r="D44" t="s">
        <v>82</v>
      </c>
      <c r="E44" t="s">
        <v>20</v>
      </c>
      <c r="F44" t="s">
        <v>12</v>
      </c>
      <c r="G44">
        <v>70</v>
      </c>
      <c r="H44">
        <v>58</v>
      </c>
      <c r="I44">
        <v>40</v>
      </c>
      <c r="J44">
        <f t="shared" si="4"/>
        <v>30</v>
      </c>
      <c r="K44">
        <f t="shared" si="5"/>
        <v>18</v>
      </c>
      <c r="L44">
        <v>12</v>
      </c>
      <c r="M44">
        <v>40.200000000000003</v>
      </c>
      <c r="N44" t="s">
        <v>265</v>
      </c>
      <c r="O44" t="s">
        <v>266</v>
      </c>
      <c r="P44" t="s">
        <v>13</v>
      </c>
      <c r="Q44">
        <v>2.5</v>
      </c>
      <c r="R44" t="s">
        <v>13</v>
      </c>
      <c r="S44" t="s">
        <v>15</v>
      </c>
      <c r="T44" t="s">
        <v>14</v>
      </c>
      <c r="U44">
        <v>0</v>
      </c>
      <c r="V44" t="s">
        <v>14</v>
      </c>
      <c r="W44">
        <f t="shared" si="6"/>
        <v>1</v>
      </c>
      <c r="X44" t="s">
        <v>17</v>
      </c>
      <c r="Y44" t="s">
        <v>14</v>
      </c>
      <c r="Z44">
        <v>0</v>
      </c>
      <c r="AA44">
        <f t="shared" si="0"/>
        <v>2274.7037803272524</v>
      </c>
      <c r="AB44">
        <f t="shared" si="1"/>
        <v>55.062378534261178</v>
      </c>
      <c r="AC44">
        <f t="shared" si="2"/>
        <v>20.525358911666981</v>
      </c>
      <c r="AD44" t="s">
        <v>15</v>
      </c>
      <c r="AE44" t="s">
        <v>15</v>
      </c>
      <c r="AF44" t="s">
        <v>24</v>
      </c>
      <c r="AG44" t="s">
        <v>14</v>
      </c>
      <c r="AH44" t="s">
        <v>14</v>
      </c>
      <c r="AI44" t="s">
        <v>14</v>
      </c>
      <c r="AJ44" t="s">
        <v>14</v>
      </c>
      <c r="AK44" t="s">
        <v>14</v>
      </c>
      <c r="AL44" t="s">
        <v>14</v>
      </c>
      <c r="AM44">
        <f t="shared" si="3"/>
        <v>37.276556985084824</v>
      </c>
      <c r="AN44">
        <f t="shared" si="7"/>
        <v>2960.0478196515996</v>
      </c>
      <c r="AO44">
        <f t="shared" si="8"/>
        <v>1660.548787430263</v>
      </c>
      <c r="AP44">
        <f t="shared" si="9"/>
        <v>351.98679266765345</v>
      </c>
      <c r="AQ44">
        <f t="shared" si="10"/>
        <v>765.38768074689744</v>
      </c>
      <c r="AR44">
        <f t="shared" si="11"/>
        <v>947.51223955368323</v>
      </c>
      <c r="AS44">
        <f t="shared" si="12"/>
        <v>0.15046078615760769</v>
      </c>
      <c r="AT44">
        <f t="shared" si="13"/>
        <v>34.537019622594194</v>
      </c>
      <c r="AU44">
        <f t="shared" si="14"/>
        <v>8.4360010923875208</v>
      </c>
      <c r="AV44">
        <f t="shared" si="15"/>
        <v>25.857274185421243</v>
      </c>
      <c r="AW44">
        <f t="shared" si="16"/>
        <v>11.891253591608617</v>
      </c>
      <c r="AX44">
        <f t="shared" si="17"/>
        <v>32.010031502302091</v>
      </c>
      <c r="AY44">
        <f t="shared" si="18"/>
        <v>1434.2633928571431</v>
      </c>
      <c r="AZ44">
        <f t="shared" si="19"/>
        <v>249.70966640100195</v>
      </c>
      <c r="BA44">
        <f t="shared" si="20"/>
        <v>62.723443014915176</v>
      </c>
      <c r="BB44" t="s">
        <v>16</v>
      </c>
      <c r="BC44" t="s">
        <v>16</v>
      </c>
      <c r="BD44">
        <v>159.51</v>
      </c>
      <c r="BE44">
        <v>87.83</v>
      </c>
      <c r="BF44">
        <v>32.74</v>
      </c>
      <c r="BG44">
        <v>55.09</v>
      </c>
      <c r="BH44">
        <v>0.24</v>
      </c>
      <c r="BI44">
        <v>362838</v>
      </c>
      <c r="BJ44">
        <v>145846</v>
      </c>
      <c r="BK44">
        <v>67224</v>
      </c>
      <c r="BL44">
        <v>6406</v>
      </c>
      <c r="BM44">
        <v>1511</v>
      </c>
      <c r="BN44">
        <v>21932</v>
      </c>
      <c r="BO44">
        <v>1066</v>
      </c>
      <c r="BP44">
        <v>10397</v>
      </c>
      <c r="BQ44">
        <v>5599</v>
      </c>
      <c r="BR44">
        <v>102808</v>
      </c>
      <c r="BS44" t="s">
        <v>21</v>
      </c>
      <c r="BT44" t="s">
        <v>264</v>
      </c>
      <c r="BU44">
        <v>0</v>
      </c>
      <c r="BV44">
        <v>0.7</v>
      </c>
      <c r="BW44">
        <v>0</v>
      </c>
      <c r="BX44">
        <v>0.3</v>
      </c>
      <c r="BY44">
        <v>259.60000000000002</v>
      </c>
      <c r="BZ44">
        <v>269.10000000000002</v>
      </c>
      <c r="CA44">
        <v>1</v>
      </c>
      <c r="CB44">
        <v>1</v>
      </c>
      <c r="CC44">
        <v>0</v>
      </c>
      <c r="CD44">
        <f t="shared" si="21"/>
        <v>3.5302861389817863E-2</v>
      </c>
      <c r="CE44">
        <v>1</v>
      </c>
    </row>
    <row r="45" spans="1:83" x14ac:dyDescent="0.4">
      <c r="A45" t="s">
        <v>992</v>
      </c>
      <c r="B45" t="s">
        <v>19</v>
      </c>
      <c r="C45" t="s">
        <v>19</v>
      </c>
      <c r="D45" t="s">
        <v>19</v>
      </c>
      <c r="E45" t="s">
        <v>20</v>
      </c>
      <c r="F45" t="s">
        <v>22</v>
      </c>
      <c r="G45">
        <v>60</v>
      </c>
      <c r="H45">
        <v>70</v>
      </c>
      <c r="I45">
        <v>50</v>
      </c>
      <c r="J45">
        <f t="shared" si="4"/>
        <v>10</v>
      </c>
      <c r="K45">
        <f t="shared" si="5"/>
        <v>20</v>
      </c>
      <c r="L45">
        <v>-10</v>
      </c>
      <c r="M45">
        <v>49.78</v>
      </c>
      <c r="N45" t="s">
        <v>268</v>
      </c>
      <c r="O45" t="s">
        <v>269</v>
      </c>
      <c r="P45" t="s">
        <v>13</v>
      </c>
      <c r="Q45">
        <v>0.1</v>
      </c>
      <c r="R45" t="s">
        <v>13</v>
      </c>
      <c r="S45" t="s">
        <v>27</v>
      </c>
      <c r="T45" t="s">
        <v>14</v>
      </c>
      <c r="U45">
        <v>0</v>
      </c>
      <c r="V45" t="s">
        <v>14</v>
      </c>
      <c r="W45">
        <f t="shared" si="6"/>
        <v>0.5</v>
      </c>
      <c r="X45" t="s">
        <v>14</v>
      </c>
      <c r="Y45" t="s">
        <v>14</v>
      </c>
      <c r="Z45">
        <v>0</v>
      </c>
      <c r="AA45">
        <f t="shared" si="0"/>
        <v>4648.4435797665374</v>
      </c>
      <c r="AB45">
        <f t="shared" si="1"/>
        <v>57.976653696498055</v>
      </c>
      <c r="AC45">
        <f t="shared" si="2"/>
        <v>40.661478599221795</v>
      </c>
      <c r="AD45" t="s">
        <v>15</v>
      </c>
      <c r="AE45" t="s">
        <v>15</v>
      </c>
      <c r="AF45" t="s">
        <v>18</v>
      </c>
      <c r="AG45" t="s">
        <v>14</v>
      </c>
      <c r="AH45" t="s">
        <v>14</v>
      </c>
      <c r="AI45" t="s">
        <v>14</v>
      </c>
      <c r="AJ45" t="s">
        <v>14</v>
      </c>
      <c r="AK45" t="s">
        <v>14</v>
      </c>
      <c r="AL45" t="s">
        <v>14</v>
      </c>
      <c r="AM45">
        <f t="shared" si="3"/>
        <v>70.134228187919462</v>
      </c>
      <c r="AN45">
        <f t="shared" si="7"/>
        <v>5518.120805369128</v>
      </c>
      <c r="AO45">
        <f t="shared" si="8"/>
        <v>3991.6107382550335</v>
      </c>
      <c r="AP45">
        <f t="shared" si="9"/>
        <v>542.95302013422815</v>
      </c>
      <c r="AQ45">
        <f t="shared" si="10"/>
        <v>363.42281879194633</v>
      </c>
      <c r="AR45">
        <f t="shared" si="11"/>
        <v>983.55704697986573</v>
      </c>
      <c r="AS45">
        <f t="shared" si="12"/>
        <v>0.19455252918287938</v>
      </c>
      <c r="AT45">
        <f t="shared" si="13"/>
        <v>17.315175097276267</v>
      </c>
      <c r="AU45">
        <f t="shared" si="14"/>
        <v>4.4697153977134514</v>
      </c>
      <c r="AV45">
        <f t="shared" si="15"/>
        <v>6.5859888105083924</v>
      </c>
      <c r="AW45">
        <f t="shared" si="16"/>
        <v>9.83945512040866</v>
      </c>
      <c r="AX45">
        <f t="shared" si="17"/>
        <v>17.824130381902215</v>
      </c>
      <c r="AY45">
        <f t="shared" si="18"/>
        <v>3443.5185185185192</v>
      </c>
      <c r="AZ45">
        <f t="shared" si="19"/>
        <v>246.64429530201343</v>
      </c>
      <c r="BA45">
        <f t="shared" si="20"/>
        <v>29.865771812080538</v>
      </c>
      <c r="BB45" t="s">
        <v>28</v>
      </c>
      <c r="BC45" t="s">
        <v>31</v>
      </c>
      <c r="BD45">
        <v>5.14</v>
      </c>
      <c r="BE45">
        <v>2.98</v>
      </c>
      <c r="BF45">
        <v>2.09</v>
      </c>
      <c r="BG45">
        <v>0.89</v>
      </c>
      <c r="BH45">
        <v>0.01</v>
      </c>
      <c r="BI45">
        <v>23893</v>
      </c>
      <c r="BJ45">
        <v>11895</v>
      </c>
      <c r="BK45">
        <v>1083</v>
      </c>
      <c r="BL45">
        <v>671</v>
      </c>
      <c r="BM45">
        <v>65</v>
      </c>
      <c r="BN45">
        <v>735</v>
      </c>
      <c r="BO45">
        <v>147</v>
      </c>
      <c r="BP45">
        <v>153</v>
      </c>
      <c r="BQ45">
        <v>1695</v>
      </c>
      <c r="BR45">
        <v>7438</v>
      </c>
      <c r="BS45" t="s">
        <v>21</v>
      </c>
      <c r="BT45" t="s">
        <v>267</v>
      </c>
      <c r="BU45">
        <v>0</v>
      </c>
      <c r="BV45">
        <v>0.5</v>
      </c>
      <c r="BW45">
        <v>0</v>
      </c>
      <c r="BX45">
        <v>0</v>
      </c>
      <c r="BY45">
        <v>5.4</v>
      </c>
      <c r="BZ45">
        <v>5.5</v>
      </c>
      <c r="CA45">
        <v>4</v>
      </c>
      <c r="CB45">
        <v>2</v>
      </c>
      <c r="CC45">
        <v>0</v>
      </c>
      <c r="CD45">
        <f t="shared" si="21"/>
        <v>1.8181818181818077E-2</v>
      </c>
      <c r="CE45">
        <v>0.5</v>
      </c>
    </row>
    <row r="46" spans="1:83" x14ac:dyDescent="0.4">
      <c r="A46" t="s">
        <v>993</v>
      </c>
      <c r="B46" t="s">
        <v>51</v>
      </c>
      <c r="C46" t="s">
        <v>82</v>
      </c>
      <c r="D46" t="s">
        <v>82</v>
      </c>
      <c r="E46" t="s">
        <v>20</v>
      </c>
      <c r="F46" t="s">
        <v>22</v>
      </c>
      <c r="G46">
        <v>70</v>
      </c>
      <c r="H46">
        <v>51</v>
      </c>
      <c r="I46">
        <v>70</v>
      </c>
      <c r="J46">
        <f t="shared" si="4"/>
        <v>0</v>
      </c>
      <c r="K46">
        <f t="shared" si="5"/>
        <v>-19</v>
      </c>
      <c r="L46">
        <v>19</v>
      </c>
      <c r="M46">
        <v>69.86</v>
      </c>
      <c r="N46" t="s">
        <v>270</v>
      </c>
      <c r="O46" t="s">
        <v>271</v>
      </c>
      <c r="P46" t="s">
        <v>13</v>
      </c>
      <c r="Q46">
        <v>3.1</v>
      </c>
      <c r="R46" t="s">
        <v>13</v>
      </c>
      <c r="S46" t="s">
        <v>15</v>
      </c>
      <c r="T46" t="s">
        <v>14</v>
      </c>
      <c r="U46">
        <v>0</v>
      </c>
      <c r="V46" t="s">
        <v>14</v>
      </c>
      <c r="W46">
        <f t="shared" si="6"/>
        <v>1</v>
      </c>
      <c r="X46" t="s">
        <v>14</v>
      </c>
      <c r="Y46" t="s">
        <v>14</v>
      </c>
      <c r="Z46">
        <v>0</v>
      </c>
      <c r="AA46">
        <f t="shared" si="0"/>
        <v>5887.68115942029</v>
      </c>
      <c r="AB46">
        <f t="shared" si="1"/>
        <v>93.478260869565204</v>
      </c>
      <c r="AC46">
        <f t="shared" si="2"/>
        <v>82.712215320910971</v>
      </c>
      <c r="AD46" t="s">
        <v>15</v>
      </c>
      <c r="AE46" t="s">
        <v>15</v>
      </c>
      <c r="AF46" t="s">
        <v>18</v>
      </c>
      <c r="AG46" t="s">
        <v>14</v>
      </c>
      <c r="AH46" t="s">
        <v>14</v>
      </c>
      <c r="AI46" t="s">
        <v>14</v>
      </c>
      <c r="AJ46" t="s">
        <v>14</v>
      </c>
      <c r="AK46" t="s">
        <v>14</v>
      </c>
      <c r="AL46" t="s">
        <v>14</v>
      </c>
      <c r="AM46">
        <f t="shared" si="3"/>
        <v>88.482834994462905</v>
      </c>
      <c r="AN46">
        <f t="shared" si="7"/>
        <v>5981.8383167220381</v>
      </c>
      <c r="AO46">
        <f t="shared" si="8"/>
        <v>4400.2214839424141</v>
      </c>
      <c r="AP46">
        <f t="shared" si="9"/>
        <v>1060.9080841638981</v>
      </c>
      <c r="AQ46">
        <f t="shared" si="10"/>
        <v>269.65669988925805</v>
      </c>
      <c r="AR46">
        <f t="shared" si="11"/>
        <v>520.70874861572543</v>
      </c>
      <c r="AS46">
        <f t="shared" si="12"/>
        <v>0.10351966873706003</v>
      </c>
      <c r="AT46">
        <f t="shared" si="13"/>
        <v>10.766045548654244</v>
      </c>
      <c r="AU46">
        <f t="shared" si="14"/>
        <v>11.600266587677725</v>
      </c>
      <c r="AV46">
        <f t="shared" si="15"/>
        <v>4.5079235781990521</v>
      </c>
      <c r="AW46">
        <f t="shared" si="16"/>
        <v>17.735485781990523</v>
      </c>
      <c r="AX46">
        <f t="shared" si="17"/>
        <v>8.7048281990521321</v>
      </c>
      <c r="AY46">
        <f t="shared" si="18"/>
        <v>4466.6666666666615</v>
      </c>
      <c r="AZ46">
        <f t="shared" si="19"/>
        <v>693.90919158361021</v>
      </c>
      <c r="BA46">
        <f t="shared" si="20"/>
        <v>11.5171650055371</v>
      </c>
      <c r="BB46" t="s">
        <v>50</v>
      </c>
      <c r="BC46" t="s">
        <v>50</v>
      </c>
      <c r="BD46">
        <v>9.66</v>
      </c>
      <c r="BE46">
        <v>9.0299999999999994</v>
      </c>
      <c r="BF46">
        <v>7.99</v>
      </c>
      <c r="BG46">
        <v>1.04</v>
      </c>
      <c r="BH46">
        <v>0.01</v>
      </c>
      <c r="BI46">
        <v>56875</v>
      </c>
      <c r="BJ46">
        <v>39734</v>
      </c>
      <c r="BK46">
        <v>2435</v>
      </c>
      <c r="BL46">
        <v>2738</v>
      </c>
      <c r="BM46">
        <v>293</v>
      </c>
      <c r="BN46">
        <v>6266</v>
      </c>
      <c r="BO46">
        <v>283</v>
      </c>
      <c r="BP46">
        <v>1934</v>
      </c>
      <c r="BQ46">
        <v>333</v>
      </c>
      <c r="BR46">
        <v>2814</v>
      </c>
      <c r="BS46" t="s">
        <v>21</v>
      </c>
      <c r="BT46" t="s">
        <v>171</v>
      </c>
      <c r="BU46">
        <v>0</v>
      </c>
      <c r="BV46">
        <v>0</v>
      </c>
      <c r="BW46">
        <v>0</v>
      </c>
      <c r="BX46">
        <v>0</v>
      </c>
      <c r="BY46">
        <v>9.9</v>
      </c>
      <c r="BZ46">
        <v>10.199999999999999</v>
      </c>
      <c r="CA46">
        <v>7</v>
      </c>
      <c r="CB46">
        <v>7</v>
      </c>
      <c r="CC46">
        <v>0</v>
      </c>
      <c r="CD46">
        <f t="shared" si="21"/>
        <v>2.9411764705882248E-2</v>
      </c>
      <c r="CE46">
        <v>1</v>
      </c>
    </row>
    <row r="47" spans="1:83" x14ac:dyDescent="0.4">
      <c r="A47" t="s">
        <v>994</v>
      </c>
      <c r="B47" t="s">
        <v>43</v>
      </c>
      <c r="C47" t="s">
        <v>82</v>
      </c>
      <c r="D47" t="s">
        <v>82</v>
      </c>
      <c r="E47" t="s">
        <v>20</v>
      </c>
      <c r="F47" t="s">
        <v>22</v>
      </c>
      <c r="G47">
        <v>70</v>
      </c>
      <c r="H47">
        <v>16</v>
      </c>
      <c r="I47">
        <v>56.5</v>
      </c>
      <c r="J47">
        <f t="shared" si="4"/>
        <v>13.5</v>
      </c>
      <c r="K47">
        <f t="shared" si="5"/>
        <v>-40.5</v>
      </c>
      <c r="L47">
        <v>54</v>
      </c>
      <c r="M47">
        <v>56.62</v>
      </c>
      <c r="N47" t="s">
        <v>273</v>
      </c>
      <c r="O47" t="s">
        <v>274</v>
      </c>
      <c r="P47" t="s">
        <v>13</v>
      </c>
      <c r="Q47">
        <v>0.4</v>
      </c>
      <c r="R47" t="s">
        <v>26</v>
      </c>
      <c r="S47" t="s">
        <v>27</v>
      </c>
      <c r="T47" t="s">
        <v>14</v>
      </c>
      <c r="U47">
        <v>12.5</v>
      </c>
      <c r="V47" t="s">
        <v>17</v>
      </c>
      <c r="W47" t="s">
        <v>52</v>
      </c>
      <c r="X47" t="s">
        <v>14</v>
      </c>
      <c r="Y47" t="s">
        <v>17</v>
      </c>
      <c r="Z47">
        <v>5</v>
      </c>
      <c r="AA47">
        <f t="shared" si="0"/>
        <v>2415.2247956403271</v>
      </c>
      <c r="AB47">
        <f t="shared" si="1"/>
        <v>43.017711171662128</v>
      </c>
      <c r="AC47">
        <f t="shared" si="2"/>
        <v>25.885558583106267</v>
      </c>
      <c r="AD47" t="s">
        <v>36</v>
      </c>
      <c r="AE47" t="s">
        <v>27</v>
      </c>
      <c r="AF47" t="s">
        <v>18</v>
      </c>
      <c r="AG47" t="s">
        <v>14</v>
      </c>
      <c r="AH47" t="s">
        <v>14</v>
      </c>
      <c r="AI47" t="s">
        <v>14</v>
      </c>
      <c r="AJ47" t="s">
        <v>14</v>
      </c>
      <c r="AK47" t="s">
        <v>14</v>
      </c>
      <c r="AL47" t="s">
        <v>14</v>
      </c>
      <c r="AM47">
        <f t="shared" si="3"/>
        <v>60.174188440221691</v>
      </c>
      <c r="AN47">
        <f t="shared" si="7"/>
        <v>4524.6239113222482</v>
      </c>
      <c r="AO47">
        <f t="shared" si="8"/>
        <v>3179.1765637371336</v>
      </c>
      <c r="AP47">
        <f t="shared" si="9"/>
        <v>320.74425969912903</v>
      </c>
      <c r="AQ47">
        <f t="shared" si="10"/>
        <v>913.77672209026127</v>
      </c>
      <c r="AR47">
        <f t="shared" si="11"/>
        <v>1024.7030878859857</v>
      </c>
      <c r="AS47">
        <f t="shared" si="12"/>
        <v>16.961852861035425</v>
      </c>
      <c r="AT47">
        <f t="shared" si="13"/>
        <v>17.098092643051771</v>
      </c>
      <c r="AU47">
        <f t="shared" si="14"/>
        <v>3.6922969236691983</v>
      </c>
      <c r="AV47">
        <f t="shared" si="15"/>
        <v>20.19563923984181</v>
      </c>
      <c r="AW47">
        <f t="shared" si="16"/>
        <v>7.0888601126938022</v>
      </c>
      <c r="AX47">
        <f t="shared" si="17"/>
        <v>22.647254401007945</v>
      </c>
      <c r="AY47">
        <f t="shared" si="18"/>
        <v>821.99641362821296</v>
      </c>
      <c r="AZ47">
        <f t="shared" si="19"/>
        <v>167.06254948535232</v>
      </c>
      <c r="BA47">
        <f t="shared" si="20"/>
        <v>39.746634996041166</v>
      </c>
      <c r="BB47" t="s">
        <v>52</v>
      </c>
      <c r="BC47" t="s">
        <v>52</v>
      </c>
      <c r="BD47">
        <v>29.36</v>
      </c>
      <c r="BE47">
        <v>12.63</v>
      </c>
      <c r="BF47">
        <v>7.6</v>
      </c>
      <c r="BG47">
        <v>5.0199999999999996</v>
      </c>
      <c r="BH47">
        <v>4.9800000000000004</v>
      </c>
      <c r="BI47">
        <v>70911</v>
      </c>
      <c r="BJ47">
        <v>40153</v>
      </c>
      <c r="BK47">
        <v>11541</v>
      </c>
      <c r="BL47">
        <v>930</v>
      </c>
      <c r="BM47">
        <v>66</v>
      </c>
      <c r="BN47">
        <v>2110</v>
      </c>
      <c r="BO47">
        <v>945</v>
      </c>
      <c r="BP47">
        <v>948</v>
      </c>
      <c r="BQ47">
        <v>453</v>
      </c>
      <c r="BR47">
        <v>13752</v>
      </c>
      <c r="BS47" t="s">
        <v>21</v>
      </c>
      <c r="BT47" t="s">
        <v>272</v>
      </c>
      <c r="BU47">
        <v>0</v>
      </c>
      <c r="BV47">
        <v>0.3</v>
      </c>
      <c r="BW47">
        <v>0</v>
      </c>
      <c r="BX47">
        <v>0.2</v>
      </c>
      <c r="BY47">
        <v>37.6</v>
      </c>
      <c r="BZ47">
        <v>38</v>
      </c>
      <c r="CA47">
        <v>10</v>
      </c>
      <c r="CB47">
        <v>10</v>
      </c>
      <c r="CC47">
        <v>0</v>
      </c>
      <c r="CD47">
        <f t="shared" si="21"/>
        <v>1.0526315789473606E-2</v>
      </c>
      <c r="CE47">
        <v>1</v>
      </c>
    </row>
    <row r="48" spans="1:83" x14ac:dyDescent="0.4">
      <c r="A48" t="s">
        <v>995</v>
      </c>
      <c r="B48" t="s">
        <v>19</v>
      </c>
      <c r="C48" t="s">
        <v>19</v>
      </c>
      <c r="D48" t="s">
        <v>19</v>
      </c>
      <c r="E48" t="s">
        <v>20</v>
      </c>
      <c r="F48" t="s">
        <v>22</v>
      </c>
      <c r="G48">
        <v>30</v>
      </c>
      <c r="H48">
        <v>52</v>
      </c>
      <c r="I48">
        <v>57.5</v>
      </c>
      <c r="J48">
        <f t="shared" si="4"/>
        <v>-27.5</v>
      </c>
      <c r="K48">
        <f t="shared" si="5"/>
        <v>-5.5</v>
      </c>
      <c r="L48">
        <v>-22</v>
      </c>
      <c r="M48">
        <v>57.57</v>
      </c>
      <c r="N48" t="s">
        <v>277</v>
      </c>
      <c r="O48" t="s">
        <v>278</v>
      </c>
      <c r="P48" t="s">
        <v>13</v>
      </c>
      <c r="Q48">
        <v>0.6</v>
      </c>
      <c r="R48" t="s">
        <v>13</v>
      </c>
      <c r="S48" t="s">
        <v>15</v>
      </c>
      <c r="T48" t="s">
        <v>14</v>
      </c>
      <c r="U48">
        <v>0</v>
      </c>
      <c r="V48" t="s">
        <v>14</v>
      </c>
      <c r="W48">
        <f t="shared" si="6"/>
        <v>1</v>
      </c>
      <c r="X48" t="s">
        <v>14</v>
      </c>
      <c r="Y48" t="s">
        <v>14</v>
      </c>
      <c r="Z48">
        <v>0</v>
      </c>
      <c r="AA48">
        <f t="shared" si="0"/>
        <v>3997.560975609756</v>
      </c>
      <c r="AB48">
        <f t="shared" si="1"/>
        <v>57.819225251076041</v>
      </c>
      <c r="AC48">
        <f t="shared" si="2"/>
        <v>43.974175035868008</v>
      </c>
      <c r="AD48" t="s">
        <v>27</v>
      </c>
      <c r="AE48" t="s">
        <v>27</v>
      </c>
      <c r="AF48" t="s">
        <v>18</v>
      </c>
      <c r="AG48" t="s">
        <v>14</v>
      </c>
      <c r="AH48" t="s">
        <v>14</v>
      </c>
      <c r="AI48" t="s">
        <v>14</v>
      </c>
      <c r="AJ48" t="s">
        <v>14</v>
      </c>
      <c r="AK48" t="s">
        <v>14</v>
      </c>
      <c r="AL48" t="s">
        <v>14</v>
      </c>
      <c r="AM48">
        <f t="shared" si="3"/>
        <v>76.054590570719597</v>
      </c>
      <c r="AN48">
        <f t="shared" si="7"/>
        <v>4876.4267990074441</v>
      </c>
      <c r="AO48">
        <f t="shared" si="8"/>
        <v>3980.521091811414</v>
      </c>
      <c r="AP48">
        <f t="shared" si="9"/>
        <v>233.00248138957815</v>
      </c>
      <c r="AQ48">
        <f t="shared" si="10"/>
        <v>398.13895781637717</v>
      </c>
      <c r="AR48">
        <f t="shared" si="11"/>
        <v>662.90322580645159</v>
      </c>
      <c r="AS48">
        <f t="shared" si="12"/>
        <v>2.3672883787661405</v>
      </c>
      <c r="AT48">
        <f t="shared" si="13"/>
        <v>13.845050215208035</v>
      </c>
      <c r="AU48">
        <f t="shared" si="14"/>
        <v>3.0327702015062079</v>
      </c>
      <c r="AV48">
        <f t="shared" si="15"/>
        <v>8.1645634032159577</v>
      </c>
      <c r="AW48">
        <f t="shared" si="16"/>
        <v>4.7781396295542438</v>
      </c>
      <c r="AX48">
        <f t="shared" si="17"/>
        <v>13.594036230409118</v>
      </c>
      <c r="AY48">
        <f t="shared" si="18"/>
        <v>2789.6258503401364</v>
      </c>
      <c r="AZ48">
        <f t="shared" si="19"/>
        <v>147.89081885856078</v>
      </c>
      <c r="BA48">
        <f t="shared" si="20"/>
        <v>23.945409429280396</v>
      </c>
      <c r="BB48" t="s">
        <v>50</v>
      </c>
      <c r="BC48" t="s">
        <v>50</v>
      </c>
      <c r="BD48">
        <v>13.94</v>
      </c>
      <c r="BE48">
        <v>8.06</v>
      </c>
      <c r="BF48">
        <v>6.13</v>
      </c>
      <c r="BG48">
        <v>1.93</v>
      </c>
      <c r="BH48">
        <v>0.33</v>
      </c>
      <c r="BI48">
        <v>55726</v>
      </c>
      <c r="BJ48">
        <v>32083</v>
      </c>
      <c r="BK48">
        <v>3209</v>
      </c>
      <c r="BL48">
        <v>449</v>
      </c>
      <c r="BM48">
        <v>64</v>
      </c>
      <c r="BN48">
        <v>1192</v>
      </c>
      <c r="BO48">
        <v>173</v>
      </c>
      <c r="BP48">
        <v>2018</v>
      </c>
      <c r="BQ48">
        <v>116</v>
      </c>
      <c r="BR48">
        <v>16403</v>
      </c>
      <c r="BS48" t="s">
        <v>21</v>
      </c>
      <c r="BT48" t="s">
        <v>276</v>
      </c>
      <c r="BU48">
        <v>1.6</v>
      </c>
      <c r="BV48">
        <v>0</v>
      </c>
      <c r="BW48">
        <v>4.4000000000000004</v>
      </c>
      <c r="BX48">
        <v>0</v>
      </c>
      <c r="BY48">
        <v>15.2</v>
      </c>
      <c r="BZ48">
        <v>16.3</v>
      </c>
      <c r="CA48">
        <v>7</v>
      </c>
      <c r="CB48">
        <v>7</v>
      </c>
      <c r="CC48">
        <v>0</v>
      </c>
      <c r="CD48">
        <f t="shared" si="21"/>
        <v>6.7484662576687171E-2</v>
      </c>
      <c r="CE48">
        <v>1</v>
      </c>
    </row>
    <row r="49" spans="1:83" x14ac:dyDescent="0.4">
      <c r="A49" t="s">
        <v>996</v>
      </c>
      <c r="B49" t="s">
        <v>19</v>
      </c>
      <c r="C49" t="s">
        <v>19</v>
      </c>
      <c r="D49" t="s">
        <v>19</v>
      </c>
      <c r="E49" t="s">
        <v>20</v>
      </c>
      <c r="F49" t="s">
        <v>22</v>
      </c>
      <c r="G49">
        <v>70</v>
      </c>
      <c r="H49">
        <v>75</v>
      </c>
      <c r="I49">
        <v>71.5</v>
      </c>
      <c r="J49">
        <f t="shared" si="4"/>
        <v>-1.5</v>
      </c>
      <c r="K49">
        <f t="shared" si="5"/>
        <v>3.5</v>
      </c>
      <c r="L49">
        <v>-5</v>
      </c>
      <c r="M49">
        <v>71.349999999999994</v>
      </c>
      <c r="N49" t="s">
        <v>279</v>
      </c>
      <c r="O49" t="s">
        <v>280</v>
      </c>
      <c r="P49" t="s">
        <v>13</v>
      </c>
      <c r="Q49">
        <v>0.3</v>
      </c>
      <c r="R49" t="s">
        <v>13</v>
      </c>
      <c r="S49" t="s">
        <v>15</v>
      </c>
      <c r="T49" t="s">
        <v>14</v>
      </c>
      <c r="U49">
        <v>5</v>
      </c>
      <c r="V49" t="s">
        <v>14</v>
      </c>
      <c r="W49">
        <f t="shared" si="6"/>
        <v>1</v>
      </c>
      <c r="X49" t="s">
        <v>14</v>
      </c>
      <c r="Y49" t="s">
        <v>14</v>
      </c>
      <c r="Z49">
        <v>0</v>
      </c>
      <c r="AA49">
        <f t="shared" si="0"/>
        <v>3771.8765074770863</v>
      </c>
      <c r="AB49">
        <f t="shared" si="1"/>
        <v>82.633863965267722</v>
      </c>
      <c r="AC49">
        <f t="shared" si="2"/>
        <v>44.814278822961882</v>
      </c>
      <c r="AD49" t="s">
        <v>15</v>
      </c>
      <c r="AE49" t="s">
        <v>15</v>
      </c>
      <c r="AF49" t="s">
        <v>18</v>
      </c>
      <c r="AG49" t="s">
        <v>14</v>
      </c>
      <c r="AH49" t="s">
        <v>14</v>
      </c>
      <c r="AI49" t="s">
        <v>18</v>
      </c>
      <c r="AJ49" t="s">
        <v>14</v>
      </c>
      <c r="AK49" t="s">
        <v>14</v>
      </c>
      <c r="AL49" t="s">
        <v>14</v>
      </c>
      <c r="AM49">
        <f t="shared" si="3"/>
        <v>54.232340922358432</v>
      </c>
      <c r="AN49">
        <f t="shared" si="7"/>
        <v>3969.3520140105079</v>
      </c>
      <c r="AO49">
        <f t="shared" si="8"/>
        <v>3256.684179801518</v>
      </c>
      <c r="AP49">
        <f t="shared" si="9"/>
        <v>165.2656158785756</v>
      </c>
      <c r="AQ49">
        <f t="shared" si="10"/>
        <v>495.03794512551082</v>
      </c>
      <c r="AR49">
        <f t="shared" si="11"/>
        <v>547.40221833041448</v>
      </c>
      <c r="AS49">
        <f t="shared" si="12"/>
        <v>0.72358900144717797</v>
      </c>
      <c r="AT49">
        <f t="shared" si="13"/>
        <v>37.819585142305833</v>
      </c>
      <c r="AU49">
        <f t="shared" si="14"/>
        <v>1.7795426134274579</v>
      </c>
      <c r="AV49">
        <f t="shared" si="15"/>
        <v>12.47150525773954</v>
      </c>
      <c r="AW49">
        <f t="shared" si="16"/>
        <v>4.163541436870358</v>
      </c>
      <c r="AX49">
        <f t="shared" si="17"/>
        <v>13.790719905875433</v>
      </c>
      <c r="AY49">
        <f t="shared" si="18"/>
        <v>2826.1111111111099</v>
      </c>
      <c r="AZ49">
        <f t="shared" si="19"/>
        <v>70.636310566258032</v>
      </c>
      <c r="BA49">
        <f t="shared" si="20"/>
        <v>45.767659077641568</v>
      </c>
      <c r="BB49" t="s">
        <v>50</v>
      </c>
      <c r="BC49" t="s">
        <v>50</v>
      </c>
      <c r="BD49">
        <v>20.73</v>
      </c>
      <c r="BE49">
        <v>17.13</v>
      </c>
      <c r="BF49">
        <v>9.2899999999999991</v>
      </c>
      <c r="BG49">
        <v>7.84</v>
      </c>
      <c r="BH49">
        <v>0.15</v>
      </c>
      <c r="BI49">
        <v>78191</v>
      </c>
      <c r="BJ49">
        <v>55787</v>
      </c>
      <c r="BK49">
        <v>8480</v>
      </c>
      <c r="BL49">
        <v>1181</v>
      </c>
      <c r="BM49">
        <v>83</v>
      </c>
      <c r="BN49">
        <v>1210</v>
      </c>
      <c r="BO49">
        <v>357</v>
      </c>
      <c r="BP49">
        <v>652</v>
      </c>
      <c r="BQ49">
        <v>245</v>
      </c>
      <c r="BR49">
        <v>10174</v>
      </c>
      <c r="BS49" t="s">
        <v>21</v>
      </c>
      <c r="BT49" t="s">
        <v>134</v>
      </c>
      <c r="BU49">
        <v>0</v>
      </c>
      <c r="BV49">
        <v>0.2</v>
      </c>
      <c r="BW49">
        <v>0</v>
      </c>
      <c r="BX49">
        <v>0</v>
      </c>
      <c r="BY49">
        <v>22.8</v>
      </c>
      <c r="BZ49">
        <v>23</v>
      </c>
      <c r="CA49">
        <v>7</v>
      </c>
      <c r="CB49">
        <v>7</v>
      </c>
      <c r="CC49">
        <v>0</v>
      </c>
      <c r="CD49">
        <f t="shared" si="21"/>
        <v>8.6956521739129933E-3</v>
      </c>
      <c r="CE49">
        <v>1</v>
      </c>
    </row>
    <row r="50" spans="1:83" x14ac:dyDescent="0.4">
      <c r="A50" t="s">
        <v>997</v>
      </c>
      <c r="B50" t="s">
        <v>53</v>
      </c>
      <c r="C50" t="s">
        <v>82</v>
      </c>
      <c r="D50" t="s">
        <v>82</v>
      </c>
      <c r="E50" t="s">
        <v>20</v>
      </c>
      <c r="F50" t="s">
        <v>22</v>
      </c>
      <c r="G50">
        <v>20</v>
      </c>
      <c r="H50">
        <v>78</v>
      </c>
      <c r="I50">
        <v>57</v>
      </c>
      <c r="J50">
        <f t="shared" si="4"/>
        <v>-37</v>
      </c>
      <c r="K50">
        <f t="shared" si="5"/>
        <v>21</v>
      </c>
      <c r="L50">
        <v>-58</v>
      </c>
      <c r="M50">
        <v>56.94</v>
      </c>
      <c r="N50" t="s">
        <v>283</v>
      </c>
      <c r="O50" t="s">
        <v>284</v>
      </c>
      <c r="P50" t="s">
        <v>13</v>
      </c>
      <c r="Q50">
        <v>0.4</v>
      </c>
      <c r="R50" t="s">
        <v>13</v>
      </c>
      <c r="S50" t="s">
        <v>15</v>
      </c>
      <c r="T50" t="s">
        <v>14</v>
      </c>
      <c r="U50">
        <v>2.5</v>
      </c>
      <c r="V50" t="s">
        <v>14</v>
      </c>
      <c r="W50">
        <f t="shared" si="6"/>
        <v>1</v>
      </c>
      <c r="X50" t="s">
        <v>14</v>
      </c>
      <c r="Y50" t="s">
        <v>14</v>
      </c>
      <c r="Z50">
        <v>0</v>
      </c>
      <c r="AA50">
        <f t="shared" si="0"/>
        <v>2693.3098591549297</v>
      </c>
      <c r="AB50">
        <f t="shared" si="1"/>
        <v>63.497652582159624</v>
      </c>
      <c r="AC50">
        <f t="shared" si="2"/>
        <v>19.014084507042256</v>
      </c>
      <c r="AD50" t="s">
        <v>15</v>
      </c>
      <c r="AE50" t="s">
        <v>15</v>
      </c>
      <c r="AF50" t="s">
        <v>18</v>
      </c>
      <c r="AG50" t="s">
        <v>14</v>
      </c>
      <c r="AH50" t="s">
        <v>14</v>
      </c>
      <c r="AI50" t="s">
        <v>18</v>
      </c>
      <c r="AJ50" t="s">
        <v>14</v>
      </c>
      <c r="AK50" t="s">
        <v>14</v>
      </c>
      <c r="AL50" t="s">
        <v>14</v>
      </c>
      <c r="AM50">
        <f t="shared" si="3"/>
        <v>29.944547134935306</v>
      </c>
      <c r="AN50">
        <f t="shared" si="7"/>
        <v>3202.2181146025878</v>
      </c>
      <c r="AO50">
        <f t="shared" si="8"/>
        <v>2414.9722735674677</v>
      </c>
      <c r="AP50">
        <f t="shared" si="9"/>
        <v>54.713493530499072</v>
      </c>
      <c r="AQ50">
        <f t="shared" si="10"/>
        <v>663.21626617375227</v>
      </c>
      <c r="AR50">
        <f t="shared" si="11"/>
        <v>732.53234750462104</v>
      </c>
      <c r="AS50">
        <f t="shared" si="12"/>
        <v>0.23474178403755869</v>
      </c>
      <c r="AT50">
        <f t="shared" si="13"/>
        <v>44.366197183098592</v>
      </c>
      <c r="AU50">
        <f t="shared" si="14"/>
        <v>1.2121911798660818</v>
      </c>
      <c r="AV50">
        <f t="shared" si="15"/>
        <v>20.71115215885477</v>
      </c>
      <c r="AW50">
        <f t="shared" si="16"/>
        <v>1.708612329716001</v>
      </c>
      <c r="AX50">
        <f t="shared" si="17"/>
        <v>22.875779265758485</v>
      </c>
      <c r="AY50">
        <f t="shared" si="18"/>
        <v>1807.0739549839232</v>
      </c>
      <c r="AZ50">
        <f t="shared" si="19"/>
        <v>38.817005545286506</v>
      </c>
      <c r="BA50">
        <f t="shared" si="20"/>
        <v>69.870609981515713</v>
      </c>
      <c r="BB50" t="s">
        <v>16</v>
      </c>
      <c r="BC50" t="s">
        <v>16</v>
      </c>
      <c r="BD50">
        <v>8.52</v>
      </c>
      <c r="BE50">
        <v>5.41</v>
      </c>
      <c r="BF50">
        <v>1.62</v>
      </c>
      <c r="BG50">
        <v>3.78</v>
      </c>
      <c r="BH50">
        <v>0.02</v>
      </c>
      <c r="BI50">
        <v>22947</v>
      </c>
      <c r="BJ50">
        <v>13065</v>
      </c>
      <c r="BK50">
        <v>3588</v>
      </c>
      <c r="BL50">
        <v>60</v>
      </c>
      <c r="BM50">
        <v>15</v>
      </c>
      <c r="BN50">
        <v>210</v>
      </c>
      <c r="BO50">
        <v>11</v>
      </c>
      <c r="BP50">
        <v>271</v>
      </c>
      <c r="BQ50">
        <v>104</v>
      </c>
      <c r="BR50">
        <v>5620</v>
      </c>
      <c r="BS50" t="s">
        <v>21</v>
      </c>
      <c r="BT50" t="s">
        <v>282</v>
      </c>
      <c r="BU50">
        <v>0</v>
      </c>
      <c r="BV50">
        <v>0</v>
      </c>
      <c r="BW50">
        <v>0</v>
      </c>
      <c r="BX50">
        <v>0.2</v>
      </c>
      <c r="BY50">
        <v>10.9</v>
      </c>
      <c r="BZ50">
        <v>11</v>
      </c>
      <c r="CA50">
        <v>1</v>
      </c>
      <c r="CB50">
        <v>1</v>
      </c>
      <c r="CC50">
        <v>0</v>
      </c>
      <c r="CD50">
        <f t="shared" si="21"/>
        <v>9.0909090909090384E-3</v>
      </c>
      <c r="CE50">
        <v>1</v>
      </c>
    </row>
    <row r="51" spans="1:83" x14ac:dyDescent="0.4">
      <c r="A51" t="s">
        <v>998</v>
      </c>
      <c r="B51" t="s">
        <v>43</v>
      </c>
      <c r="C51" t="s">
        <v>82</v>
      </c>
      <c r="D51" t="s">
        <v>82</v>
      </c>
      <c r="E51" t="s">
        <v>20</v>
      </c>
      <c r="F51" t="s">
        <v>22</v>
      </c>
      <c r="G51">
        <v>60</v>
      </c>
      <c r="H51">
        <v>58</v>
      </c>
      <c r="I51">
        <v>59.5</v>
      </c>
      <c r="J51">
        <f t="shared" si="4"/>
        <v>0.5</v>
      </c>
      <c r="K51">
        <f t="shared" si="5"/>
        <v>-1.5</v>
      </c>
      <c r="L51">
        <v>2</v>
      </c>
      <c r="M51">
        <v>59.34</v>
      </c>
      <c r="N51" t="s">
        <v>286</v>
      </c>
      <c r="O51" t="s">
        <v>287</v>
      </c>
      <c r="P51" t="s">
        <v>13</v>
      </c>
      <c r="Q51">
        <v>0.1</v>
      </c>
      <c r="R51" t="s">
        <v>13</v>
      </c>
      <c r="S51" t="s">
        <v>15</v>
      </c>
      <c r="T51" t="s">
        <v>14</v>
      </c>
      <c r="U51">
        <v>0</v>
      </c>
      <c r="V51" t="s">
        <v>14</v>
      </c>
      <c r="W51">
        <f t="shared" si="6"/>
        <v>1</v>
      </c>
      <c r="X51" t="s">
        <v>14</v>
      </c>
      <c r="Y51" t="s">
        <v>14</v>
      </c>
      <c r="Z51">
        <v>0</v>
      </c>
      <c r="AA51">
        <f t="shared" si="0"/>
        <v>6556.40625</v>
      </c>
      <c r="AB51">
        <f t="shared" si="1"/>
        <v>98.177083333333343</v>
      </c>
      <c r="AC51">
        <f t="shared" si="2"/>
        <v>47.1875</v>
      </c>
      <c r="AD51" t="s">
        <v>15</v>
      </c>
      <c r="AE51" t="s">
        <v>15</v>
      </c>
      <c r="AF51" t="s">
        <v>18</v>
      </c>
      <c r="AG51" t="s">
        <v>14</v>
      </c>
      <c r="AH51" t="s">
        <v>14</v>
      </c>
      <c r="AI51" t="s">
        <v>14</v>
      </c>
      <c r="AJ51" t="s">
        <v>14</v>
      </c>
      <c r="AK51" t="s">
        <v>14</v>
      </c>
      <c r="AL51" t="s">
        <v>14</v>
      </c>
      <c r="AM51">
        <f t="shared" si="3"/>
        <v>48.063660477453574</v>
      </c>
      <c r="AN51">
        <f t="shared" si="7"/>
        <v>6638.3023872679041</v>
      </c>
      <c r="AO51">
        <f t="shared" si="8"/>
        <v>3962.8647214854109</v>
      </c>
      <c r="AP51">
        <f t="shared" si="9"/>
        <v>390.66312997347478</v>
      </c>
      <c r="AQ51">
        <f t="shared" si="10"/>
        <v>2165.0928381962863</v>
      </c>
      <c r="AR51">
        <f t="shared" si="11"/>
        <v>2284.7745358090183</v>
      </c>
      <c r="AS51">
        <f t="shared" si="12"/>
        <v>0.67708333333333337</v>
      </c>
      <c r="AT51">
        <f t="shared" si="13"/>
        <v>51.041666666666671</v>
      </c>
      <c r="AU51">
        <f t="shared" si="14"/>
        <v>4.254707029376978</v>
      </c>
      <c r="AV51">
        <f t="shared" si="15"/>
        <v>32.615158392737271</v>
      </c>
      <c r="AW51">
        <f t="shared" si="16"/>
        <v>5.884985455359141</v>
      </c>
      <c r="AX51">
        <f t="shared" si="17"/>
        <v>34.41805453441166</v>
      </c>
      <c r="AY51">
        <f t="shared" si="18"/>
        <v>2071.4285714285838</v>
      </c>
      <c r="AZ51">
        <f t="shared" si="19"/>
        <v>282.44031830238725</v>
      </c>
      <c r="BA51">
        <f t="shared" si="20"/>
        <v>51.989389920424408</v>
      </c>
      <c r="BB51" t="s">
        <v>30</v>
      </c>
      <c r="BC51" t="s">
        <v>30</v>
      </c>
      <c r="BD51">
        <v>19.2</v>
      </c>
      <c r="BE51">
        <v>18.850000000000001</v>
      </c>
      <c r="BF51">
        <v>9.06</v>
      </c>
      <c r="BG51">
        <v>9.8000000000000007</v>
      </c>
      <c r="BH51">
        <v>0.13</v>
      </c>
      <c r="BI51">
        <v>125883</v>
      </c>
      <c r="BJ51">
        <v>74700</v>
      </c>
      <c r="BK51">
        <v>40812</v>
      </c>
      <c r="BL51">
        <v>560</v>
      </c>
      <c r="BM51">
        <v>924</v>
      </c>
      <c r="BN51">
        <v>5324</v>
      </c>
      <c r="BO51">
        <v>556</v>
      </c>
      <c r="BP51">
        <v>2094</v>
      </c>
      <c r="BQ51">
        <v>162</v>
      </c>
      <c r="BR51">
        <v>725</v>
      </c>
      <c r="BS51" t="s">
        <v>21</v>
      </c>
      <c r="BT51" t="s">
        <v>285</v>
      </c>
      <c r="BU51">
        <v>0</v>
      </c>
      <c r="BV51">
        <v>0.1</v>
      </c>
      <c r="BW51">
        <v>0</v>
      </c>
      <c r="BX51">
        <v>3</v>
      </c>
      <c r="BY51">
        <v>19.399999999999999</v>
      </c>
      <c r="BZ51">
        <v>20</v>
      </c>
      <c r="CA51">
        <v>3</v>
      </c>
      <c r="CB51">
        <v>3</v>
      </c>
      <c r="CC51">
        <v>0</v>
      </c>
      <c r="CD51">
        <f t="shared" si="21"/>
        <v>3.0000000000000027E-2</v>
      </c>
      <c r="CE51">
        <v>1</v>
      </c>
    </row>
    <row r="52" spans="1:83" x14ac:dyDescent="0.4">
      <c r="A52" t="s">
        <v>999</v>
      </c>
      <c r="B52" t="s">
        <v>20</v>
      </c>
      <c r="C52" t="s">
        <v>73</v>
      </c>
      <c r="D52" t="s">
        <v>82</v>
      </c>
      <c r="E52" t="s">
        <v>20</v>
      </c>
      <c r="F52" t="s">
        <v>12</v>
      </c>
      <c r="G52">
        <v>30</v>
      </c>
      <c r="H52">
        <v>75</v>
      </c>
      <c r="I52">
        <v>72</v>
      </c>
      <c r="J52">
        <f t="shared" si="4"/>
        <v>-42</v>
      </c>
      <c r="K52">
        <f t="shared" si="5"/>
        <v>3</v>
      </c>
      <c r="L52">
        <v>-45</v>
      </c>
      <c r="M52">
        <v>71.92</v>
      </c>
      <c r="N52" t="s">
        <v>289</v>
      </c>
      <c r="O52" t="s">
        <v>290</v>
      </c>
      <c r="P52" t="s">
        <v>13</v>
      </c>
      <c r="Q52">
        <v>3.9</v>
      </c>
      <c r="R52" t="s">
        <v>13</v>
      </c>
      <c r="S52" t="s">
        <v>35</v>
      </c>
      <c r="T52" t="s">
        <v>14</v>
      </c>
      <c r="U52">
        <v>2.5</v>
      </c>
      <c r="V52" t="s">
        <v>14</v>
      </c>
      <c r="W52">
        <f t="shared" si="6"/>
        <v>1</v>
      </c>
      <c r="X52" t="s">
        <v>17</v>
      </c>
      <c r="Y52" t="s">
        <v>14</v>
      </c>
      <c r="Z52">
        <v>0</v>
      </c>
      <c r="AA52">
        <f t="shared" si="0"/>
        <v>4132.5935023540069</v>
      </c>
      <c r="AB52">
        <f t="shared" si="1"/>
        <v>65.476503786881878</v>
      </c>
      <c r="AC52">
        <f t="shared" si="2"/>
        <v>50.709126531567094</v>
      </c>
      <c r="AD52" t="s">
        <v>27</v>
      </c>
      <c r="AE52" t="s">
        <v>15</v>
      </c>
      <c r="AF52" t="s">
        <v>18</v>
      </c>
      <c r="AG52" t="s">
        <v>14</v>
      </c>
      <c r="AH52" t="s">
        <v>14</v>
      </c>
      <c r="AI52" t="s">
        <v>18</v>
      </c>
      <c r="AJ52" t="s">
        <v>14</v>
      </c>
      <c r="AK52" t="s">
        <v>14</v>
      </c>
      <c r="AL52" t="s">
        <v>14</v>
      </c>
      <c r="AM52">
        <f t="shared" si="3"/>
        <v>77.446295386539234</v>
      </c>
      <c r="AN52">
        <f t="shared" si="7"/>
        <v>5822.3795274887234</v>
      </c>
      <c r="AO52">
        <f t="shared" si="8"/>
        <v>4539.0558706623196</v>
      </c>
      <c r="AP52">
        <f t="shared" si="9"/>
        <v>607.66825956857667</v>
      </c>
      <c r="AQ52">
        <f t="shared" si="10"/>
        <v>494.60497521325533</v>
      </c>
      <c r="AR52">
        <f t="shared" si="11"/>
        <v>675.65539725782685</v>
      </c>
      <c r="AS52">
        <f t="shared" si="12"/>
        <v>2.3393864958914524E-2</v>
      </c>
      <c r="AT52">
        <f t="shared" si="13"/>
        <v>14.764453022194928</v>
      </c>
      <c r="AU52">
        <f t="shared" si="14"/>
        <v>6.5554745035050539</v>
      </c>
      <c r="AV52">
        <f t="shared" si="15"/>
        <v>8.4948941043454376</v>
      </c>
      <c r="AW52">
        <f t="shared" si="16"/>
        <v>10.436768278324049</v>
      </c>
      <c r="AX52">
        <f t="shared" si="17"/>
        <v>11.604454743424236</v>
      </c>
      <c r="AY52">
        <f t="shared" si="18"/>
        <v>925.95290530238833</v>
      </c>
      <c r="AZ52">
        <f t="shared" si="19"/>
        <v>381.68460542182129</v>
      </c>
      <c r="BA52">
        <f t="shared" si="20"/>
        <v>22.549238533339288</v>
      </c>
      <c r="BB52" t="s">
        <v>16</v>
      </c>
      <c r="BC52" t="s">
        <v>16</v>
      </c>
      <c r="BD52">
        <v>341.97</v>
      </c>
      <c r="BE52">
        <v>223.91</v>
      </c>
      <c r="BF52">
        <v>173.41</v>
      </c>
      <c r="BG52">
        <v>50.49</v>
      </c>
      <c r="BH52">
        <v>0.08</v>
      </c>
      <c r="BI52">
        <v>1413223</v>
      </c>
      <c r="BJ52">
        <v>1016340</v>
      </c>
      <c r="BK52">
        <v>110747</v>
      </c>
      <c r="BL52">
        <v>36057</v>
      </c>
      <c r="BM52">
        <v>8556</v>
      </c>
      <c r="BN52">
        <v>85463</v>
      </c>
      <c r="BO52">
        <v>5987</v>
      </c>
      <c r="BP52">
        <v>26840</v>
      </c>
      <c r="BQ52">
        <v>13699</v>
      </c>
      <c r="BR52">
        <v>109318</v>
      </c>
      <c r="BS52" t="s">
        <v>21</v>
      </c>
      <c r="BT52" t="s">
        <v>288</v>
      </c>
      <c r="BU52">
        <v>0</v>
      </c>
      <c r="BV52">
        <v>0.6</v>
      </c>
      <c r="BW52">
        <v>0.9</v>
      </c>
      <c r="BX52">
        <v>0.1</v>
      </c>
      <c r="BY52">
        <v>405.5</v>
      </c>
      <c r="BZ52">
        <v>428.5</v>
      </c>
      <c r="CA52">
        <v>1</v>
      </c>
      <c r="CB52">
        <v>1</v>
      </c>
      <c r="CC52">
        <v>0</v>
      </c>
      <c r="CD52">
        <f t="shared" si="21"/>
        <v>5.3675612602100298E-2</v>
      </c>
      <c r="CE52">
        <v>1</v>
      </c>
    </row>
    <row r="53" spans="1:83" x14ac:dyDescent="0.4">
      <c r="A53" t="s">
        <v>1000</v>
      </c>
      <c r="B53" t="s">
        <v>43</v>
      </c>
      <c r="C53" t="s">
        <v>82</v>
      </c>
      <c r="D53" t="s">
        <v>82</v>
      </c>
      <c r="E53" t="s">
        <v>20</v>
      </c>
      <c r="F53" t="s">
        <v>22</v>
      </c>
      <c r="G53">
        <v>30</v>
      </c>
      <c r="H53">
        <v>67</v>
      </c>
      <c r="I53">
        <v>30.5</v>
      </c>
      <c r="J53">
        <f t="shared" si="4"/>
        <v>-0.5</v>
      </c>
      <c r="K53">
        <f t="shared" si="5"/>
        <v>36.5</v>
      </c>
      <c r="L53">
        <v>-37</v>
      </c>
      <c r="M53">
        <v>30.26</v>
      </c>
      <c r="N53" t="s">
        <v>292</v>
      </c>
      <c r="O53" t="s">
        <v>293</v>
      </c>
      <c r="P53" t="s">
        <v>13</v>
      </c>
      <c r="Q53">
        <v>2.8</v>
      </c>
      <c r="R53" t="s">
        <v>38</v>
      </c>
      <c r="S53" t="s">
        <v>27</v>
      </c>
      <c r="T53" t="s">
        <v>14</v>
      </c>
      <c r="U53">
        <v>50</v>
      </c>
      <c r="V53" t="s">
        <v>17</v>
      </c>
      <c r="W53">
        <f t="shared" si="6"/>
        <v>1</v>
      </c>
      <c r="X53" t="s">
        <v>14</v>
      </c>
      <c r="Y53" t="s">
        <v>14</v>
      </c>
      <c r="Z53">
        <v>5</v>
      </c>
      <c r="AA53">
        <f t="shared" si="0"/>
        <v>3380.482204362801</v>
      </c>
      <c r="AB53">
        <f t="shared" si="1"/>
        <v>43.972445464982776</v>
      </c>
      <c r="AC53">
        <f t="shared" si="2"/>
        <v>16.877152698048217</v>
      </c>
      <c r="AD53" t="s">
        <v>27</v>
      </c>
      <c r="AE53" t="s">
        <v>15</v>
      </c>
      <c r="AF53" t="s">
        <v>24</v>
      </c>
      <c r="AG53" t="s">
        <v>14</v>
      </c>
      <c r="AH53" t="s">
        <v>14</v>
      </c>
      <c r="AI53" t="s">
        <v>14</v>
      </c>
      <c r="AJ53" t="s">
        <v>14</v>
      </c>
      <c r="AK53" t="s">
        <v>14</v>
      </c>
      <c r="AL53" t="s">
        <v>14</v>
      </c>
      <c r="AM53">
        <f t="shared" si="3"/>
        <v>38.381201044386422</v>
      </c>
      <c r="AN53">
        <f t="shared" si="7"/>
        <v>5014.6214099216713</v>
      </c>
      <c r="AO53">
        <f t="shared" si="8"/>
        <v>2326.3707571801565</v>
      </c>
      <c r="AP53">
        <f t="shared" si="9"/>
        <v>362.66318537859007</v>
      </c>
      <c r="AQ53">
        <f t="shared" si="10"/>
        <v>2119.8433420365536</v>
      </c>
      <c r="AR53">
        <f t="shared" si="11"/>
        <v>2325.5874673629241</v>
      </c>
      <c r="AS53">
        <f t="shared" si="12"/>
        <v>2.8702640642939148</v>
      </c>
      <c r="AT53">
        <f t="shared" si="13"/>
        <v>27.095292766934556</v>
      </c>
      <c r="AU53">
        <f t="shared" si="14"/>
        <v>4.8318233885244197</v>
      </c>
      <c r="AV53">
        <f t="shared" si="15"/>
        <v>42.273247943351038</v>
      </c>
      <c r="AW53">
        <f t="shared" si="16"/>
        <v>7.2321149640737268</v>
      </c>
      <c r="AX53">
        <f t="shared" si="17"/>
        <v>46.376132458606683</v>
      </c>
      <c r="AY53">
        <f t="shared" si="18"/>
        <v>2096.1065573770488</v>
      </c>
      <c r="AZ53">
        <f t="shared" si="19"/>
        <v>242.29765013054831</v>
      </c>
      <c r="BA53">
        <f t="shared" si="20"/>
        <v>61.618798955613578</v>
      </c>
      <c r="BB53" t="s">
        <v>40</v>
      </c>
      <c r="BC53" t="s">
        <v>40</v>
      </c>
      <c r="BD53">
        <v>8.7100000000000009</v>
      </c>
      <c r="BE53">
        <v>3.83</v>
      </c>
      <c r="BF53">
        <v>1.47</v>
      </c>
      <c r="BG53">
        <v>2.36</v>
      </c>
      <c r="BH53">
        <v>0.25</v>
      </c>
      <c r="BI53">
        <v>29444</v>
      </c>
      <c r="BJ53">
        <v>8910</v>
      </c>
      <c r="BK53">
        <v>8119</v>
      </c>
      <c r="BL53">
        <v>240</v>
      </c>
      <c r="BM53">
        <v>63</v>
      </c>
      <c r="BN53">
        <v>928</v>
      </c>
      <c r="BO53">
        <v>158</v>
      </c>
      <c r="BP53">
        <v>648</v>
      </c>
      <c r="BQ53">
        <v>140</v>
      </c>
      <c r="BR53">
        <v>10229</v>
      </c>
      <c r="BS53" t="s">
        <v>21</v>
      </c>
      <c r="BT53" t="s">
        <v>291</v>
      </c>
      <c r="BU53">
        <v>0</v>
      </c>
      <c r="BV53">
        <v>2.4</v>
      </c>
      <c r="BW53">
        <v>0</v>
      </c>
      <c r="BX53">
        <v>2.7</v>
      </c>
      <c r="BY53">
        <v>17.2</v>
      </c>
      <c r="BZ53">
        <v>18.7</v>
      </c>
      <c r="CA53">
        <v>6</v>
      </c>
      <c r="CB53">
        <v>6</v>
      </c>
      <c r="CC53">
        <v>0</v>
      </c>
      <c r="CD53">
        <f t="shared" si="21"/>
        <v>8.0213903743315496E-2</v>
      </c>
      <c r="CE53">
        <v>1</v>
      </c>
    </row>
    <row r="54" spans="1:83" x14ac:dyDescent="0.4">
      <c r="A54" t="s">
        <v>1001</v>
      </c>
      <c r="B54" t="s">
        <v>20</v>
      </c>
      <c r="C54" t="s">
        <v>73</v>
      </c>
      <c r="D54" t="s">
        <v>82</v>
      </c>
      <c r="E54" t="s">
        <v>20</v>
      </c>
      <c r="F54" t="s">
        <v>12</v>
      </c>
      <c r="G54">
        <v>40</v>
      </c>
      <c r="H54">
        <v>74</v>
      </c>
      <c r="I54">
        <v>54</v>
      </c>
      <c r="J54">
        <f t="shared" si="4"/>
        <v>-14</v>
      </c>
      <c r="K54">
        <f t="shared" si="5"/>
        <v>20</v>
      </c>
      <c r="L54">
        <v>-34</v>
      </c>
      <c r="M54">
        <v>53.95</v>
      </c>
      <c r="N54" t="s">
        <v>295</v>
      </c>
      <c r="O54" t="s">
        <v>296</v>
      </c>
      <c r="P54" t="s">
        <v>13</v>
      </c>
      <c r="Q54">
        <v>2.7</v>
      </c>
      <c r="R54" t="s">
        <v>26</v>
      </c>
      <c r="S54" t="s">
        <v>15</v>
      </c>
      <c r="T54" t="s">
        <v>17</v>
      </c>
      <c r="U54">
        <v>37.5</v>
      </c>
      <c r="V54" t="s">
        <v>17</v>
      </c>
      <c r="W54">
        <f t="shared" si="6"/>
        <v>1</v>
      </c>
      <c r="X54" t="s">
        <v>17</v>
      </c>
      <c r="Y54" t="s">
        <v>14</v>
      </c>
      <c r="Z54">
        <v>5</v>
      </c>
      <c r="AA54">
        <f t="shared" si="0"/>
        <v>3589.7823581259745</v>
      </c>
      <c r="AB54">
        <f t="shared" si="1"/>
        <v>39.250118652112008</v>
      </c>
      <c r="AC54">
        <f t="shared" si="2"/>
        <v>28.801952674757608</v>
      </c>
      <c r="AD54" t="s">
        <v>15</v>
      </c>
      <c r="AE54" t="s">
        <v>27</v>
      </c>
      <c r="AF54" t="s">
        <v>18</v>
      </c>
      <c r="AG54" t="s">
        <v>17</v>
      </c>
      <c r="AH54" t="s">
        <v>14</v>
      </c>
      <c r="AI54" t="s">
        <v>14</v>
      </c>
      <c r="AJ54" t="s">
        <v>14</v>
      </c>
      <c r="AK54" t="s">
        <v>14</v>
      </c>
      <c r="AL54" t="s">
        <v>14</v>
      </c>
      <c r="AM54">
        <f t="shared" si="3"/>
        <v>73.380549317671452</v>
      </c>
      <c r="AN54">
        <f t="shared" si="7"/>
        <v>7268.1292105717739</v>
      </c>
      <c r="AO54">
        <f t="shared" si="8"/>
        <v>4934.0300570046638</v>
      </c>
      <c r="AP54">
        <f t="shared" si="9"/>
        <v>1796.4588011746416</v>
      </c>
      <c r="AQ54">
        <f t="shared" si="10"/>
        <v>354.3617205044049</v>
      </c>
      <c r="AR54">
        <f t="shared" si="11"/>
        <v>537.64035239246846</v>
      </c>
      <c r="AS54">
        <f t="shared" si="12"/>
        <v>1.4102651027188282</v>
      </c>
      <c r="AT54">
        <f t="shared" si="13"/>
        <v>10.448165977354396</v>
      </c>
      <c r="AU54">
        <f t="shared" si="14"/>
        <v>10.703454766703427</v>
      </c>
      <c r="AV54">
        <f t="shared" si="15"/>
        <v>4.8755561470890214</v>
      </c>
      <c r="AW54">
        <f t="shared" si="16"/>
        <v>24.716935391869796</v>
      </c>
      <c r="AX54">
        <f t="shared" si="17"/>
        <v>7.3972316233790929</v>
      </c>
      <c r="AY54">
        <f t="shared" si="18"/>
        <v>1211.8191964285713</v>
      </c>
      <c r="AZ54">
        <f t="shared" si="19"/>
        <v>777.94092243910859</v>
      </c>
      <c r="BA54">
        <f t="shared" si="20"/>
        <v>26.619450682328555</v>
      </c>
      <c r="BB54" t="s">
        <v>16</v>
      </c>
      <c r="BC54" t="s">
        <v>16</v>
      </c>
      <c r="BD54">
        <v>147.49</v>
      </c>
      <c r="BE54">
        <v>57.89</v>
      </c>
      <c r="BF54">
        <v>42.48</v>
      </c>
      <c r="BG54">
        <v>15.41</v>
      </c>
      <c r="BH54">
        <v>2.08</v>
      </c>
      <c r="BI54">
        <v>529457</v>
      </c>
      <c r="BJ54">
        <v>285631</v>
      </c>
      <c r="BK54">
        <v>20514</v>
      </c>
      <c r="BL54">
        <v>26520</v>
      </c>
      <c r="BM54">
        <v>2659</v>
      </c>
      <c r="BN54">
        <v>45035</v>
      </c>
      <c r="BO54">
        <v>29783</v>
      </c>
      <c r="BP54">
        <v>6261</v>
      </c>
      <c r="BQ54">
        <v>4349</v>
      </c>
      <c r="BR54">
        <v>108579</v>
      </c>
      <c r="BS54" t="s">
        <v>21</v>
      </c>
      <c r="BT54" t="s">
        <v>294</v>
      </c>
      <c r="BU54">
        <v>0</v>
      </c>
      <c r="BV54">
        <v>0.6</v>
      </c>
      <c r="BW54">
        <v>0.5</v>
      </c>
      <c r="BX54">
        <v>0.2</v>
      </c>
      <c r="BY54">
        <v>294.8</v>
      </c>
      <c r="BZ54">
        <v>307.10000000000002</v>
      </c>
      <c r="CA54">
        <v>1</v>
      </c>
      <c r="CB54">
        <v>1</v>
      </c>
      <c r="CC54">
        <v>0</v>
      </c>
      <c r="CD54">
        <f t="shared" si="21"/>
        <v>4.0052100293064163E-2</v>
      </c>
      <c r="CE54">
        <v>1</v>
      </c>
    </row>
    <row r="55" spans="1:83" x14ac:dyDescent="0.4">
      <c r="A55" t="s">
        <v>1002</v>
      </c>
      <c r="B55" t="s">
        <v>19</v>
      </c>
      <c r="C55" t="s">
        <v>19</v>
      </c>
      <c r="D55" t="s">
        <v>19</v>
      </c>
      <c r="E55" t="s">
        <v>20</v>
      </c>
      <c r="F55" t="s">
        <v>22</v>
      </c>
      <c r="G55">
        <v>20</v>
      </c>
      <c r="H55">
        <v>33</v>
      </c>
      <c r="I55">
        <v>39.5</v>
      </c>
      <c r="J55">
        <f t="shared" si="4"/>
        <v>-19.5</v>
      </c>
      <c r="K55">
        <f t="shared" si="5"/>
        <v>-6.5</v>
      </c>
      <c r="L55">
        <v>-13</v>
      </c>
      <c r="M55">
        <v>39.659999999999997</v>
      </c>
      <c r="N55" t="s">
        <v>298</v>
      </c>
      <c r="O55" t="s">
        <v>299</v>
      </c>
      <c r="P55" t="s">
        <v>13</v>
      </c>
      <c r="Q55">
        <v>0.1</v>
      </c>
      <c r="R55" t="s">
        <v>13</v>
      </c>
      <c r="S55" t="s">
        <v>15</v>
      </c>
      <c r="T55" t="s">
        <v>14</v>
      </c>
      <c r="U55">
        <v>2.5</v>
      </c>
      <c r="V55" t="s">
        <v>14</v>
      </c>
      <c r="W55">
        <f t="shared" si="6"/>
        <v>1</v>
      </c>
      <c r="X55" t="s">
        <v>14</v>
      </c>
      <c r="Y55" t="s">
        <v>14</v>
      </c>
      <c r="Z55">
        <v>0</v>
      </c>
      <c r="AA55">
        <f t="shared" si="0"/>
        <v>4733.3727810650889</v>
      </c>
      <c r="AB55">
        <f t="shared" si="1"/>
        <v>95.147928994082832</v>
      </c>
      <c r="AC55">
        <f t="shared" si="2"/>
        <v>26.982248520710058</v>
      </c>
      <c r="AD55" t="s">
        <v>15</v>
      </c>
      <c r="AE55" t="s">
        <v>15</v>
      </c>
      <c r="AF55" t="s">
        <v>24</v>
      </c>
      <c r="AG55" t="s">
        <v>14</v>
      </c>
      <c r="AH55" t="s">
        <v>14</v>
      </c>
      <c r="AI55" t="s">
        <v>18</v>
      </c>
      <c r="AJ55" t="s">
        <v>14</v>
      </c>
      <c r="AK55" t="s">
        <v>14</v>
      </c>
      <c r="AL55" t="s">
        <v>17</v>
      </c>
      <c r="AM55">
        <f t="shared" si="3"/>
        <v>28.35820895522388</v>
      </c>
      <c r="AN55">
        <f t="shared" si="7"/>
        <v>4714.1791044776128</v>
      </c>
      <c r="AO55">
        <f t="shared" si="8"/>
        <v>1972.8855721393038</v>
      </c>
      <c r="AP55">
        <f t="shared" si="9"/>
        <v>922.38805970149258</v>
      </c>
      <c r="AQ55">
        <f t="shared" si="10"/>
        <v>1654.2288557213933</v>
      </c>
      <c r="AR55">
        <f t="shared" si="11"/>
        <v>1818.9054726368161</v>
      </c>
      <c r="AS55">
        <f t="shared" si="12"/>
        <v>0.1183431952662722</v>
      </c>
      <c r="AT55">
        <f t="shared" si="13"/>
        <v>68.165680473372788</v>
      </c>
      <c r="AU55">
        <f t="shared" si="14"/>
        <v>14.249907656588043</v>
      </c>
      <c r="AV55">
        <f t="shared" si="15"/>
        <v>35.090496543718011</v>
      </c>
      <c r="AW55">
        <f t="shared" si="16"/>
        <v>19.566249802121259</v>
      </c>
      <c r="AX55">
        <f t="shared" si="17"/>
        <v>38.583715898897154</v>
      </c>
      <c r="AY55">
        <f t="shared" si="18"/>
        <v>4990.2439024390223</v>
      </c>
      <c r="AZ55">
        <f t="shared" si="19"/>
        <v>671.76616915422892</v>
      </c>
      <c r="BA55">
        <f t="shared" si="20"/>
        <v>71.641791044776127</v>
      </c>
      <c r="BB55" t="s">
        <v>16</v>
      </c>
      <c r="BC55" t="s">
        <v>16</v>
      </c>
      <c r="BD55">
        <v>8.4499999999999993</v>
      </c>
      <c r="BE55">
        <v>8.0399999999999991</v>
      </c>
      <c r="BF55">
        <v>2.2799999999999998</v>
      </c>
      <c r="BG55">
        <v>5.76</v>
      </c>
      <c r="BH55">
        <v>0.01</v>
      </c>
      <c r="BI55">
        <v>39997</v>
      </c>
      <c r="BJ55">
        <v>15862</v>
      </c>
      <c r="BK55">
        <v>13300</v>
      </c>
      <c r="BL55">
        <v>622</v>
      </c>
      <c r="BM55">
        <v>596</v>
      </c>
      <c r="BN55">
        <v>5401</v>
      </c>
      <c r="BO55">
        <v>797</v>
      </c>
      <c r="BP55">
        <v>1174</v>
      </c>
      <c r="BQ55">
        <v>150</v>
      </c>
      <c r="BR55">
        <v>2046</v>
      </c>
      <c r="BS55" t="s">
        <v>21</v>
      </c>
      <c r="BT55" t="s">
        <v>201</v>
      </c>
      <c r="BU55">
        <v>0</v>
      </c>
      <c r="BV55">
        <v>0</v>
      </c>
      <c r="BW55">
        <v>26.9</v>
      </c>
      <c r="BX55">
        <v>0.2</v>
      </c>
      <c r="BY55">
        <v>8.8000000000000007</v>
      </c>
      <c r="BZ55">
        <v>12.1</v>
      </c>
      <c r="CA55">
        <v>1</v>
      </c>
      <c r="CB55">
        <v>1</v>
      </c>
      <c r="CC55">
        <v>0</v>
      </c>
      <c r="CD55">
        <f t="shared" si="21"/>
        <v>0.2727272727272726</v>
      </c>
      <c r="CE55">
        <v>1</v>
      </c>
    </row>
    <row r="56" spans="1:83" x14ac:dyDescent="0.4">
      <c r="A56" t="s">
        <v>1003</v>
      </c>
      <c r="B56" t="s">
        <v>53</v>
      </c>
      <c r="C56" t="s">
        <v>82</v>
      </c>
      <c r="D56" t="s">
        <v>82</v>
      </c>
      <c r="E56" t="s">
        <v>20</v>
      </c>
      <c r="F56" t="s">
        <v>12</v>
      </c>
      <c r="G56">
        <v>40</v>
      </c>
      <c r="H56">
        <v>29</v>
      </c>
      <c r="I56">
        <v>17</v>
      </c>
      <c r="J56">
        <f t="shared" si="4"/>
        <v>23</v>
      </c>
      <c r="K56">
        <f t="shared" si="5"/>
        <v>12</v>
      </c>
      <c r="L56">
        <v>11</v>
      </c>
      <c r="M56">
        <v>16.86</v>
      </c>
      <c r="N56" t="s">
        <v>300</v>
      </c>
      <c r="O56" t="s">
        <v>301</v>
      </c>
      <c r="P56" t="s">
        <v>13</v>
      </c>
      <c r="Q56">
        <v>0</v>
      </c>
      <c r="R56" t="s">
        <v>13</v>
      </c>
      <c r="S56" t="s">
        <v>15</v>
      </c>
      <c r="T56" t="s">
        <v>14</v>
      </c>
      <c r="U56">
        <v>2.5</v>
      </c>
      <c r="V56" t="s">
        <v>14</v>
      </c>
      <c r="W56">
        <f t="shared" si="6"/>
        <v>1</v>
      </c>
      <c r="X56" t="s">
        <v>17</v>
      </c>
      <c r="Y56" t="s">
        <v>14</v>
      </c>
      <c r="Z56">
        <v>0</v>
      </c>
      <c r="AA56">
        <f t="shared" si="0"/>
        <v>743.82691422433629</v>
      </c>
      <c r="AB56">
        <f t="shared" si="1"/>
        <v>7.94230474144545</v>
      </c>
      <c r="AC56">
        <f t="shared" si="2"/>
        <v>3.3512352309344786</v>
      </c>
      <c r="AD56" t="s">
        <v>15</v>
      </c>
      <c r="AE56" t="s">
        <v>15</v>
      </c>
      <c r="AF56" t="s">
        <v>18</v>
      </c>
      <c r="AG56" t="s">
        <v>14</v>
      </c>
      <c r="AH56" t="s">
        <v>17</v>
      </c>
      <c r="AI56" t="s">
        <v>18</v>
      </c>
      <c r="AJ56" t="s">
        <v>14</v>
      </c>
      <c r="AK56" t="s">
        <v>14</v>
      </c>
      <c r="AL56" t="s">
        <v>14</v>
      </c>
      <c r="AM56">
        <f t="shared" si="3"/>
        <v>42.194744976816075</v>
      </c>
      <c r="AN56">
        <f t="shared" si="7"/>
        <v>3256.6074188562598</v>
      </c>
      <c r="AO56">
        <f t="shared" si="8"/>
        <v>1579.0958268933541</v>
      </c>
      <c r="AP56">
        <f t="shared" si="9"/>
        <v>717.85162287480682</v>
      </c>
      <c r="AQ56">
        <f t="shared" si="10"/>
        <v>794.47449768160743</v>
      </c>
      <c r="AR56">
        <f t="shared" si="11"/>
        <v>959.65996908809893</v>
      </c>
      <c r="AS56">
        <f t="shared" si="12"/>
        <v>0.70584624827374542</v>
      </c>
      <c r="AT56">
        <f t="shared" si="13"/>
        <v>4.5910695105109713</v>
      </c>
      <c r="AU56">
        <f t="shared" si="14"/>
        <v>15.333230502723033</v>
      </c>
      <c r="AV56">
        <f t="shared" si="15"/>
        <v>24.395771288902601</v>
      </c>
      <c r="AW56">
        <f t="shared" si="16"/>
        <v>22.04292782477664</v>
      </c>
      <c r="AX56">
        <f t="shared" si="17"/>
        <v>29.468088893107581</v>
      </c>
      <c r="AY56">
        <f t="shared" si="18"/>
        <v>526.84268426842675</v>
      </c>
      <c r="AZ56">
        <f t="shared" si="19"/>
        <v>499.34312210200932</v>
      </c>
      <c r="BA56">
        <f t="shared" si="20"/>
        <v>57.805255023183925</v>
      </c>
      <c r="BB56" t="s">
        <v>16</v>
      </c>
      <c r="BC56" t="s">
        <v>16</v>
      </c>
      <c r="BD56">
        <v>325.85000000000002</v>
      </c>
      <c r="BE56">
        <v>25.88</v>
      </c>
      <c r="BF56">
        <v>10.92</v>
      </c>
      <c r="BG56">
        <v>14.96</v>
      </c>
      <c r="BH56">
        <v>2.2999999999999998</v>
      </c>
      <c r="BI56">
        <v>242376</v>
      </c>
      <c r="BJ56">
        <v>40867</v>
      </c>
      <c r="BK56">
        <v>20561</v>
      </c>
      <c r="BL56">
        <v>4389</v>
      </c>
      <c r="BM56">
        <v>886</v>
      </c>
      <c r="BN56">
        <v>12923</v>
      </c>
      <c r="BO56">
        <v>380</v>
      </c>
      <c r="BP56">
        <v>3534</v>
      </c>
      <c r="BQ56">
        <v>741</v>
      </c>
      <c r="BR56">
        <v>158037</v>
      </c>
      <c r="BS56" t="s">
        <v>21</v>
      </c>
      <c r="BT56" t="s">
        <v>276</v>
      </c>
      <c r="BU56">
        <v>0</v>
      </c>
      <c r="BV56">
        <v>0</v>
      </c>
      <c r="BW56">
        <v>0.9</v>
      </c>
      <c r="BX56">
        <v>0</v>
      </c>
      <c r="BY56">
        <v>482.1</v>
      </c>
      <c r="BZ56">
        <v>486.6</v>
      </c>
      <c r="CA56">
        <v>1</v>
      </c>
      <c r="CB56">
        <v>1</v>
      </c>
      <c r="CC56">
        <v>0</v>
      </c>
      <c r="CD56">
        <f t="shared" si="21"/>
        <v>9.2478421701602809E-3</v>
      </c>
      <c r="CE56">
        <v>1</v>
      </c>
    </row>
    <row r="57" spans="1:83" x14ac:dyDescent="0.4">
      <c r="A57" t="s">
        <v>1004</v>
      </c>
      <c r="B57" t="s">
        <v>20</v>
      </c>
      <c r="C57" t="s">
        <v>73</v>
      </c>
      <c r="D57" t="s">
        <v>82</v>
      </c>
      <c r="E57" t="s">
        <v>20</v>
      </c>
      <c r="F57" t="s">
        <v>12</v>
      </c>
      <c r="G57">
        <v>40</v>
      </c>
      <c r="H57">
        <v>52</v>
      </c>
      <c r="I57">
        <v>41</v>
      </c>
      <c r="J57">
        <f t="shared" si="4"/>
        <v>-1</v>
      </c>
      <c r="K57">
        <f t="shared" si="5"/>
        <v>11</v>
      </c>
      <c r="L57">
        <v>-12</v>
      </c>
      <c r="M57">
        <v>40.81</v>
      </c>
      <c r="N57" t="s">
        <v>303</v>
      </c>
      <c r="O57" t="s">
        <v>304</v>
      </c>
      <c r="P57" t="s">
        <v>13</v>
      </c>
      <c r="Q57">
        <v>1.1000000000000001</v>
      </c>
      <c r="R57" t="s">
        <v>13</v>
      </c>
      <c r="S57" t="s">
        <v>15</v>
      </c>
      <c r="T57" t="s">
        <v>14</v>
      </c>
      <c r="U57">
        <v>2.5</v>
      </c>
      <c r="V57" t="s">
        <v>14</v>
      </c>
      <c r="W57">
        <f t="shared" si="6"/>
        <v>1</v>
      </c>
      <c r="X57" t="s">
        <v>17</v>
      </c>
      <c r="Y57" t="s">
        <v>14</v>
      </c>
      <c r="Z57">
        <v>0</v>
      </c>
      <c r="AA57">
        <f t="shared" si="0"/>
        <v>2957.762938230384</v>
      </c>
      <c r="AB57">
        <f t="shared" si="1"/>
        <v>64.524207011686144</v>
      </c>
      <c r="AC57">
        <f t="shared" si="2"/>
        <v>21.76246124493203</v>
      </c>
      <c r="AD57" t="s">
        <v>15</v>
      </c>
      <c r="AE57" t="s">
        <v>27</v>
      </c>
      <c r="AF57" t="s">
        <v>24</v>
      </c>
      <c r="AG57" t="s">
        <v>14</v>
      </c>
      <c r="AH57" t="s">
        <v>17</v>
      </c>
      <c r="AI57" t="s">
        <v>18</v>
      </c>
      <c r="AJ57" t="s">
        <v>14</v>
      </c>
      <c r="AK57" t="s">
        <v>14</v>
      </c>
      <c r="AL57" t="s">
        <v>17</v>
      </c>
      <c r="AM57">
        <f t="shared" si="3"/>
        <v>33.727591942339679</v>
      </c>
      <c r="AN57">
        <f t="shared" si="7"/>
        <v>3837.700979486232</v>
      </c>
      <c r="AO57">
        <f t="shared" si="8"/>
        <v>1870.837183515062</v>
      </c>
      <c r="AP57">
        <f t="shared" si="9"/>
        <v>494.92238033635186</v>
      </c>
      <c r="AQ57">
        <f t="shared" si="10"/>
        <v>1354.7264830900019</v>
      </c>
      <c r="AR57">
        <f t="shared" si="11"/>
        <v>1471.941415634818</v>
      </c>
      <c r="AS57">
        <f t="shared" si="12"/>
        <v>0.60517529215358923</v>
      </c>
      <c r="AT57">
        <f t="shared" si="13"/>
        <v>42.764726925828754</v>
      </c>
      <c r="AU57">
        <f t="shared" si="14"/>
        <v>9.8237245856167359</v>
      </c>
      <c r="AV57">
        <f t="shared" si="15"/>
        <v>35.300470003563554</v>
      </c>
      <c r="AW57">
        <f t="shared" si="16"/>
        <v>12.896324726232555</v>
      </c>
      <c r="AX57">
        <f t="shared" si="17"/>
        <v>38.354770825106662</v>
      </c>
      <c r="AY57">
        <f t="shared" si="18"/>
        <v>1354.0168067226891</v>
      </c>
      <c r="AZ57">
        <f t="shared" si="19"/>
        <v>377.0051746442432</v>
      </c>
      <c r="BA57">
        <f t="shared" si="20"/>
        <v>66.277028275734608</v>
      </c>
      <c r="BB57" t="s">
        <v>16</v>
      </c>
      <c r="BC57" t="s">
        <v>16</v>
      </c>
      <c r="BD57">
        <v>335.44</v>
      </c>
      <c r="BE57">
        <v>216.44</v>
      </c>
      <c r="BF57">
        <v>73</v>
      </c>
      <c r="BG57">
        <v>143.44999999999999</v>
      </c>
      <c r="BH57">
        <v>2.0299999999999998</v>
      </c>
      <c r="BI57">
        <v>992152</v>
      </c>
      <c r="BJ57">
        <v>404924</v>
      </c>
      <c r="BK57">
        <v>293217</v>
      </c>
      <c r="BL57">
        <v>15405</v>
      </c>
      <c r="BM57">
        <v>5723</v>
      </c>
      <c r="BN57">
        <v>81599</v>
      </c>
      <c r="BO57">
        <v>4394</v>
      </c>
      <c r="BP57">
        <v>17404</v>
      </c>
      <c r="BQ57">
        <v>7966</v>
      </c>
      <c r="BR57">
        <v>161128</v>
      </c>
      <c r="BS57" t="s">
        <v>21</v>
      </c>
      <c r="BT57" t="s">
        <v>302</v>
      </c>
      <c r="BU57">
        <v>0</v>
      </c>
      <c r="BV57">
        <v>0.2</v>
      </c>
      <c r="BW57">
        <v>0.8</v>
      </c>
      <c r="BX57">
        <v>0</v>
      </c>
      <c r="BY57">
        <v>373.9</v>
      </c>
      <c r="BZ57">
        <v>382.4</v>
      </c>
      <c r="CA57">
        <v>1</v>
      </c>
      <c r="CB57">
        <v>1</v>
      </c>
      <c r="CC57">
        <v>0</v>
      </c>
      <c r="CD57">
        <f t="shared" si="21"/>
        <v>2.2228033472803332E-2</v>
      </c>
      <c r="CE57">
        <v>1</v>
      </c>
    </row>
    <row r="58" spans="1:83" x14ac:dyDescent="0.4">
      <c r="A58" t="s">
        <v>1005</v>
      </c>
      <c r="B58" t="s">
        <v>54</v>
      </c>
      <c r="C58" t="s">
        <v>82</v>
      </c>
      <c r="D58" t="s">
        <v>82</v>
      </c>
      <c r="E58" t="s">
        <v>20</v>
      </c>
      <c r="F58" t="s">
        <v>22</v>
      </c>
      <c r="G58">
        <v>30</v>
      </c>
      <c r="H58">
        <v>20</v>
      </c>
      <c r="I58">
        <v>2.5</v>
      </c>
      <c r="J58">
        <f t="shared" si="4"/>
        <v>27.5</v>
      </c>
      <c r="K58">
        <f t="shared" si="5"/>
        <v>17.5</v>
      </c>
      <c r="L58">
        <v>10</v>
      </c>
      <c r="M58">
        <v>2.2999999999999998</v>
      </c>
      <c r="N58" t="s">
        <v>306</v>
      </c>
      <c r="O58" t="s">
        <v>307</v>
      </c>
      <c r="P58" t="s">
        <v>13</v>
      </c>
      <c r="Q58">
        <v>3.1</v>
      </c>
      <c r="R58" t="s">
        <v>13</v>
      </c>
      <c r="S58" t="s">
        <v>15</v>
      </c>
      <c r="T58" t="s">
        <v>14</v>
      </c>
      <c r="U58">
        <v>0</v>
      </c>
      <c r="V58" t="s">
        <v>14</v>
      </c>
      <c r="W58">
        <f t="shared" si="6"/>
        <v>0.25</v>
      </c>
      <c r="X58" t="s">
        <v>14</v>
      </c>
      <c r="Y58" t="s">
        <v>14</v>
      </c>
      <c r="Z58">
        <v>0</v>
      </c>
      <c r="AA58">
        <f t="shared" si="0"/>
        <v>5871.2006382130039</v>
      </c>
      <c r="AB58">
        <f t="shared" si="1"/>
        <v>2.9118468288791384</v>
      </c>
      <c r="AC58">
        <f t="shared" si="2"/>
        <v>2.5528520143597926</v>
      </c>
      <c r="AD58" t="s">
        <v>15</v>
      </c>
      <c r="AE58" t="s">
        <v>15</v>
      </c>
      <c r="AF58" t="s">
        <v>18</v>
      </c>
      <c r="AG58" t="s">
        <v>14</v>
      </c>
      <c r="AH58" t="s">
        <v>14</v>
      </c>
      <c r="AI58" t="s">
        <v>18</v>
      </c>
      <c r="AJ58" t="s">
        <v>14</v>
      </c>
      <c r="AK58" t="s">
        <v>14</v>
      </c>
      <c r="AL58" t="s">
        <v>14</v>
      </c>
      <c r="AM58">
        <f t="shared" si="3"/>
        <v>87.671232876712324</v>
      </c>
      <c r="AN58">
        <f t="shared" si="7"/>
        <v>7672.6027397260277</v>
      </c>
      <c r="AO58">
        <f t="shared" si="8"/>
        <v>4641.0958904109593</v>
      </c>
      <c r="AP58">
        <f t="shared" si="9"/>
        <v>2160.2739726027398</v>
      </c>
      <c r="AQ58">
        <f t="shared" si="10"/>
        <v>61.643835616438359</v>
      </c>
      <c r="AR58">
        <f t="shared" si="11"/>
        <v>871.23287671232879</v>
      </c>
      <c r="AS58">
        <f t="shared" si="12"/>
        <v>0</v>
      </c>
      <c r="AT58">
        <f t="shared" si="13"/>
        <v>0.39888312724371761</v>
      </c>
      <c r="AU58">
        <f t="shared" si="14"/>
        <v>15.497232637029102</v>
      </c>
      <c r="AV58">
        <f t="shared" si="15"/>
        <v>0.80342795929298338</v>
      </c>
      <c r="AW58">
        <f t="shared" si="16"/>
        <v>28.15568648455633</v>
      </c>
      <c r="AX58">
        <f t="shared" si="17"/>
        <v>11.355115158007498</v>
      </c>
      <c r="AY58">
        <f t="shared" si="18"/>
        <v>5814.7904683648312</v>
      </c>
      <c r="AZ58">
        <f t="shared" si="19"/>
        <v>1189.041095890411</v>
      </c>
      <c r="BA58">
        <f t="shared" si="20"/>
        <v>13.698630136986301</v>
      </c>
      <c r="BB58" t="s">
        <v>23</v>
      </c>
      <c r="BC58" t="s">
        <v>30</v>
      </c>
      <c r="BD58">
        <v>25.07</v>
      </c>
      <c r="BE58">
        <v>0.73</v>
      </c>
      <c r="BF58">
        <v>0.64</v>
      </c>
      <c r="BG58">
        <v>0.1</v>
      </c>
      <c r="BH58">
        <v>0</v>
      </c>
      <c r="BI58">
        <v>147191</v>
      </c>
      <c r="BJ58">
        <v>3388</v>
      </c>
      <c r="BK58">
        <v>45</v>
      </c>
      <c r="BL58">
        <v>260</v>
      </c>
      <c r="BM58">
        <v>417</v>
      </c>
      <c r="BN58">
        <v>868</v>
      </c>
      <c r="BO58">
        <v>32</v>
      </c>
      <c r="BP58">
        <v>78</v>
      </c>
      <c r="BQ58">
        <v>513</v>
      </c>
      <c r="BR58">
        <v>141532</v>
      </c>
      <c r="BS58" t="s">
        <v>44</v>
      </c>
      <c r="BT58" t="s">
        <v>136</v>
      </c>
      <c r="BU58">
        <v>0</v>
      </c>
      <c r="BV58">
        <v>0.1</v>
      </c>
      <c r="BW58">
        <v>0.1</v>
      </c>
      <c r="BX58">
        <v>0.2</v>
      </c>
      <c r="BY58">
        <v>32.9</v>
      </c>
      <c r="BZ58">
        <v>34</v>
      </c>
      <c r="CA58">
        <v>10</v>
      </c>
      <c r="CB58">
        <v>3</v>
      </c>
      <c r="CC58">
        <v>0</v>
      </c>
      <c r="CD58">
        <f t="shared" si="21"/>
        <v>3.2352941176470584E-2</v>
      </c>
      <c r="CE58">
        <v>0.3</v>
      </c>
    </row>
    <row r="59" spans="1:83" x14ac:dyDescent="0.4">
      <c r="A59" t="s">
        <v>1006</v>
      </c>
      <c r="B59" t="s">
        <v>19</v>
      </c>
      <c r="C59" t="s">
        <v>19</v>
      </c>
      <c r="D59" t="s">
        <v>19</v>
      </c>
      <c r="E59" t="s">
        <v>20</v>
      </c>
      <c r="F59" t="s">
        <v>22</v>
      </c>
      <c r="G59">
        <v>60</v>
      </c>
      <c r="H59">
        <v>41</v>
      </c>
      <c r="I59">
        <v>34.5</v>
      </c>
      <c r="J59">
        <f t="shared" si="4"/>
        <v>25.5</v>
      </c>
      <c r="K59">
        <f t="shared" si="5"/>
        <v>6.5</v>
      </c>
      <c r="L59">
        <v>19</v>
      </c>
      <c r="M59">
        <v>34.56</v>
      </c>
      <c r="N59" t="s">
        <v>309</v>
      </c>
      <c r="O59" t="s">
        <v>310</v>
      </c>
      <c r="P59" t="s">
        <v>13</v>
      </c>
      <c r="Q59">
        <v>0</v>
      </c>
      <c r="R59" t="s">
        <v>13</v>
      </c>
      <c r="S59" t="s">
        <v>15</v>
      </c>
      <c r="T59" t="s">
        <v>14</v>
      </c>
      <c r="U59">
        <v>2.5</v>
      </c>
      <c r="V59" t="s">
        <v>14</v>
      </c>
      <c r="W59">
        <f t="shared" si="6"/>
        <v>0.66666666666666663</v>
      </c>
      <c r="X59" t="s">
        <v>14</v>
      </c>
      <c r="Y59" t="s">
        <v>14</v>
      </c>
      <c r="Z59">
        <v>0</v>
      </c>
      <c r="AA59">
        <f t="shared" si="0"/>
        <v>3928.5322359396432</v>
      </c>
      <c r="AB59">
        <f t="shared" si="1"/>
        <v>35.390946502057616</v>
      </c>
      <c r="AC59">
        <f t="shared" si="2"/>
        <v>17.695473251028808</v>
      </c>
      <c r="AD59" t="s">
        <v>15</v>
      </c>
      <c r="AE59" t="s">
        <v>15</v>
      </c>
      <c r="AF59" t="s">
        <v>18</v>
      </c>
      <c r="AG59" t="s">
        <v>14</v>
      </c>
      <c r="AH59" t="s">
        <v>14</v>
      </c>
      <c r="AI59" t="s">
        <v>18</v>
      </c>
      <c r="AJ59" t="s">
        <v>14</v>
      </c>
      <c r="AK59" t="s">
        <v>14</v>
      </c>
      <c r="AL59" t="s">
        <v>14</v>
      </c>
      <c r="AM59">
        <f t="shared" si="3"/>
        <v>50</v>
      </c>
      <c r="AN59">
        <f t="shared" si="7"/>
        <v>4841.4728682170544</v>
      </c>
      <c r="AO59">
        <f t="shared" si="8"/>
        <v>3836.8217054263564</v>
      </c>
      <c r="AP59">
        <f t="shared" si="9"/>
        <v>318.2170542635659</v>
      </c>
      <c r="AQ59">
        <f t="shared" si="10"/>
        <v>608.52713178294573</v>
      </c>
      <c r="AR59">
        <f t="shared" si="11"/>
        <v>686.4341085271318</v>
      </c>
      <c r="AS59">
        <f t="shared" si="12"/>
        <v>0.13717421124828533</v>
      </c>
      <c r="AT59">
        <f t="shared" si="13"/>
        <v>17.695473251028808</v>
      </c>
      <c r="AU59">
        <f t="shared" si="14"/>
        <v>3.3864382355295812</v>
      </c>
      <c r="AV59">
        <f t="shared" si="15"/>
        <v>12.569049715795373</v>
      </c>
      <c r="AW59">
        <f t="shared" si="16"/>
        <v>6.5727323673044591</v>
      </c>
      <c r="AX59">
        <f t="shared" si="17"/>
        <v>14.178208309983187</v>
      </c>
      <c r="AY59">
        <f t="shared" si="18"/>
        <v>3428.2377919320593</v>
      </c>
      <c r="AZ59">
        <f t="shared" si="19"/>
        <v>163.95348837209301</v>
      </c>
      <c r="BA59">
        <f t="shared" si="20"/>
        <v>50</v>
      </c>
      <c r="BB59" t="s">
        <v>30</v>
      </c>
      <c r="BC59" t="s">
        <v>31</v>
      </c>
      <c r="BD59">
        <v>7.29</v>
      </c>
      <c r="BE59">
        <v>2.58</v>
      </c>
      <c r="BF59">
        <v>1.29</v>
      </c>
      <c r="BG59">
        <v>1.29</v>
      </c>
      <c r="BH59">
        <v>0.01</v>
      </c>
      <c r="BI59">
        <v>28639</v>
      </c>
      <c r="BJ59">
        <v>9899</v>
      </c>
      <c r="BK59">
        <v>1570</v>
      </c>
      <c r="BL59">
        <v>287</v>
      </c>
      <c r="BM59">
        <v>27</v>
      </c>
      <c r="BN59">
        <v>423</v>
      </c>
      <c r="BO59">
        <v>84</v>
      </c>
      <c r="BP59">
        <v>105</v>
      </c>
      <c r="BQ59">
        <v>96</v>
      </c>
      <c r="BR59">
        <v>16147</v>
      </c>
      <c r="BS59" t="s">
        <v>21</v>
      </c>
      <c r="BT59" t="s">
        <v>136</v>
      </c>
      <c r="BU59">
        <v>0</v>
      </c>
      <c r="BV59">
        <v>0.1</v>
      </c>
      <c r="BW59">
        <v>0</v>
      </c>
      <c r="BX59">
        <v>0</v>
      </c>
      <c r="BY59">
        <v>7.8</v>
      </c>
      <c r="BZ59">
        <v>7.8</v>
      </c>
      <c r="CA59">
        <v>3</v>
      </c>
      <c r="CB59">
        <v>2</v>
      </c>
      <c r="CC59">
        <v>0</v>
      </c>
      <c r="CD59">
        <f t="shared" si="21"/>
        <v>0</v>
      </c>
      <c r="CE59">
        <v>0.66666666666666663</v>
      </c>
    </row>
    <row r="60" spans="1:83" x14ac:dyDescent="0.4">
      <c r="A60" t="s">
        <v>1007</v>
      </c>
      <c r="B60" t="s">
        <v>55</v>
      </c>
      <c r="C60" t="s">
        <v>82</v>
      </c>
      <c r="D60" t="s">
        <v>82</v>
      </c>
      <c r="E60" t="s">
        <v>20</v>
      </c>
      <c r="F60" t="s">
        <v>22</v>
      </c>
      <c r="G60">
        <v>30</v>
      </c>
      <c r="H60">
        <v>58</v>
      </c>
      <c r="I60">
        <v>30.5</v>
      </c>
      <c r="J60">
        <f t="shared" si="4"/>
        <v>-0.5</v>
      </c>
      <c r="K60">
        <f t="shared" si="5"/>
        <v>27.5</v>
      </c>
      <c r="L60">
        <v>-28</v>
      </c>
      <c r="M60">
        <v>30.51</v>
      </c>
      <c r="N60" t="s">
        <v>312</v>
      </c>
      <c r="O60" t="s">
        <v>313</v>
      </c>
      <c r="P60" t="s">
        <v>13</v>
      </c>
      <c r="Q60">
        <v>4.5</v>
      </c>
      <c r="R60" t="s">
        <v>38</v>
      </c>
      <c r="S60" t="s">
        <v>35</v>
      </c>
      <c r="T60" t="s">
        <v>17</v>
      </c>
      <c r="U60">
        <v>25</v>
      </c>
      <c r="V60" t="s">
        <v>17</v>
      </c>
      <c r="W60" t="s">
        <v>52</v>
      </c>
      <c r="X60" t="s">
        <v>14</v>
      </c>
      <c r="Y60" t="s">
        <v>17</v>
      </c>
      <c r="Z60">
        <v>0</v>
      </c>
      <c r="AA60">
        <f t="shared" si="0"/>
        <v>1697.7254901960785</v>
      </c>
      <c r="AB60">
        <f t="shared" si="1"/>
        <v>23.69747899159664</v>
      </c>
      <c r="AC60">
        <f t="shared" si="2"/>
        <v>7.6862745098039218</v>
      </c>
      <c r="AD60" t="s">
        <v>15</v>
      </c>
      <c r="AE60" t="s">
        <v>15</v>
      </c>
      <c r="AF60" t="s">
        <v>18</v>
      </c>
      <c r="AG60" t="s">
        <v>14</v>
      </c>
      <c r="AH60" t="s">
        <v>14</v>
      </c>
      <c r="AI60" t="s">
        <v>14</v>
      </c>
      <c r="AJ60" t="s">
        <v>14</v>
      </c>
      <c r="AK60" t="s">
        <v>14</v>
      </c>
      <c r="AL60" t="s">
        <v>14</v>
      </c>
      <c r="AM60">
        <f t="shared" si="3"/>
        <v>32.434988179669034</v>
      </c>
      <c r="AN60">
        <f t="shared" si="7"/>
        <v>3807.1394799054374</v>
      </c>
      <c r="AO60">
        <f t="shared" si="8"/>
        <v>2185.6264775413715</v>
      </c>
      <c r="AP60">
        <f t="shared" si="9"/>
        <v>239.57446808510639</v>
      </c>
      <c r="AQ60">
        <f t="shared" si="10"/>
        <v>621.70212765957456</v>
      </c>
      <c r="AR60">
        <f t="shared" si="11"/>
        <v>1381.9385342789599</v>
      </c>
      <c r="AS60">
        <f t="shared" si="12"/>
        <v>4.6610644257703084</v>
      </c>
      <c r="AT60">
        <f t="shared" si="13"/>
        <v>16.011204481792717</v>
      </c>
      <c r="AU60">
        <f t="shared" si="14"/>
        <v>3.1904720507693645</v>
      </c>
      <c r="AV60">
        <f t="shared" si="15"/>
        <v>16.329901516374612</v>
      </c>
      <c r="AW60">
        <f t="shared" si="16"/>
        <v>6.292768346145726</v>
      </c>
      <c r="AX60">
        <f t="shared" si="17"/>
        <v>36.298605332770336</v>
      </c>
      <c r="AY60">
        <f t="shared" si="18"/>
        <v>1040.9838472834069</v>
      </c>
      <c r="AZ60">
        <f t="shared" si="19"/>
        <v>121.46572104018914</v>
      </c>
      <c r="BA60">
        <f t="shared" si="20"/>
        <v>67.56501182033098</v>
      </c>
      <c r="BB60" t="s">
        <v>52</v>
      </c>
      <c r="BC60" t="s">
        <v>52</v>
      </c>
      <c r="BD60">
        <v>89.25</v>
      </c>
      <c r="BE60">
        <v>21.15</v>
      </c>
      <c r="BF60">
        <v>6.86</v>
      </c>
      <c r="BG60">
        <v>14.29</v>
      </c>
      <c r="BH60">
        <v>4.16</v>
      </c>
      <c r="BI60">
        <v>151522</v>
      </c>
      <c r="BJ60">
        <v>46226</v>
      </c>
      <c r="BK60">
        <v>13149</v>
      </c>
      <c r="BL60">
        <v>1223</v>
      </c>
      <c r="BM60">
        <v>426</v>
      </c>
      <c r="BN60">
        <v>2569</v>
      </c>
      <c r="BO60">
        <v>849</v>
      </c>
      <c r="BP60">
        <v>6025</v>
      </c>
      <c r="BQ60">
        <v>10054</v>
      </c>
      <c r="BR60">
        <v>70891</v>
      </c>
      <c r="BS60" t="s">
        <v>21</v>
      </c>
      <c r="BT60" t="s">
        <v>311</v>
      </c>
      <c r="BU60">
        <v>1.9</v>
      </c>
      <c r="BV60">
        <v>3.7</v>
      </c>
      <c r="BW60">
        <v>5.5</v>
      </c>
      <c r="BX60">
        <v>0.4</v>
      </c>
      <c r="BY60">
        <v>171.3</v>
      </c>
      <c r="BZ60">
        <v>203.8</v>
      </c>
      <c r="CA60">
        <v>10</v>
      </c>
      <c r="CB60">
        <v>10</v>
      </c>
      <c r="CC60">
        <v>0</v>
      </c>
      <c r="CD60">
        <f t="shared" si="21"/>
        <v>0.15947006869479885</v>
      </c>
      <c r="CE60">
        <v>1</v>
      </c>
    </row>
    <row r="61" spans="1:83" x14ac:dyDescent="0.4">
      <c r="A61" t="s">
        <v>1008</v>
      </c>
      <c r="B61" t="s">
        <v>49</v>
      </c>
      <c r="C61" t="s">
        <v>82</v>
      </c>
      <c r="D61" t="s">
        <v>82</v>
      </c>
      <c r="E61" t="s">
        <v>20</v>
      </c>
      <c r="F61" t="s">
        <v>22</v>
      </c>
      <c r="G61">
        <v>70</v>
      </c>
      <c r="H61">
        <v>79</v>
      </c>
      <c r="I61">
        <v>65.5</v>
      </c>
      <c r="J61">
        <f t="shared" si="4"/>
        <v>4.5</v>
      </c>
      <c r="K61">
        <f t="shared" si="5"/>
        <v>13.5</v>
      </c>
      <c r="L61">
        <v>-9</v>
      </c>
      <c r="M61">
        <v>65.41</v>
      </c>
      <c r="N61" t="s">
        <v>314</v>
      </c>
      <c r="O61" t="s">
        <v>315</v>
      </c>
      <c r="P61" t="s">
        <v>13</v>
      </c>
      <c r="Q61">
        <v>2</v>
      </c>
      <c r="R61" t="s">
        <v>13</v>
      </c>
      <c r="S61" t="s">
        <v>15</v>
      </c>
      <c r="T61" t="s">
        <v>14</v>
      </c>
      <c r="U61">
        <v>5</v>
      </c>
      <c r="V61" t="s">
        <v>14</v>
      </c>
      <c r="W61">
        <f t="shared" si="6"/>
        <v>1</v>
      </c>
      <c r="X61" t="s">
        <v>14</v>
      </c>
      <c r="Y61" t="s">
        <v>14</v>
      </c>
      <c r="Z61">
        <v>0</v>
      </c>
      <c r="AA61">
        <f t="shared" si="0"/>
        <v>8862.8404669260708</v>
      </c>
      <c r="AB61">
        <f t="shared" si="1"/>
        <v>81.906614785992218</v>
      </c>
      <c r="AC61">
        <f t="shared" si="2"/>
        <v>52.918287937743195</v>
      </c>
      <c r="AD61" t="s">
        <v>15</v>
      </c>
      <c r="AE61" t="s">
        <v>15</v>
      </c>
      <c r="AF61" t="s">
        <v>18</v>
      </c>
      <c r="AG61" t="s">
        <v>14</v>
      </c>
      <c r="AH61" t="s">
        <v>14</v>
      </c>
      <c r="AI61" t="s">
        <v>18</v>
      </c>
      <c r="AJ61" t="s">
        <v>14</v>
      </c>
      <c r="AK61" t="s">
        <v>14</v>
      </c>
      <c r="AL61" t="s">
        <v>14</v>
      </c>
      <c r="AM61">
        <f t="shared" si="3"/>
        <v>64.60807600950119</v>
      </c>
      <c r="AN61">
        <f t="shared" si="7"/>
        <v>10280.522565320665</v>
      </c>
      <c r="AO61">
        <f t="shared" si="8"/>
        <v>7078.1472684085511</v>
      </c>
      <c r="AP61">
        <f t="shared" si="9"/>
        <v>693.5866983372922</v>
      </c>
      <c r="AQ61">
        <f t="shared" si="10"/>
        <v>666.50831353919239</v>
      </c>
      <c r="AR61">
        <f t="shared" si="11"/>
        <v>2508.7885985748217</v>
      </c>
      <c r="AS61">
        <f t="shared" si="12"/>
        <v>0.38910505836575876</v>
      </c>
      <c r="AT61">
        <f t="shared" si="13"/>
        <v>28.988326848249027</v>
      </c>
      <c r="AU61">
        <f t="shared" si="14"/>
        <v>4.1634897530094035</v>
      </c>
      <c r="AV61">
        <f t="shared" si="15"/>
        <v>6.4832143434763525</v>
      </c>
      <c r="AW61">
        <f t="shared" si="16"/>
        <v>6.7466093666967026</v>
      </c>
      <c r="AX61">
        <f t="shared" si="17"/>
        <v>24.403317853099512</v>
      </c>
      <c r="AY61">
        <f t="shared" si="18"/>
        <v>2425.8064516129039</v>
      </c>
      <c r="AZ61">
        <f t="shared" si="19"/>
        <v>428.02850356294539</v>
      </c>
      <c r="BA61">
        <f t="shared" si="20"/>
        <v>35.39192399049881</v>
      </c>
      <c r="BB61" t="s">
        <v>28</v>
      </c>
      <c r="BC61" t="s">
        <v>28</v>
      </c>
      <c r="BD61">
        <v>5.14</v>
      </c>
      <c r="BE61">
        <v>4.21</v>
      </c>
      <c r="BF61">
        <v>2.72</v>
      </c>
      <c r="BG61">
        <v>1.49</v>
      </c>
      <c r="BH61">
        <v>0.02</v>
      </c>
      <c r="BI61">
        <v>45555</v>
      </c>
      <c r="BJ61">
        <v>29799</v>
      </c>
      <c r="BK61">
        <v>2806</v>
      </c>
      <c r="BL61">
        <v>375</v>
      </c>
      <c r="BM61">
        <v>626</v>
      </c>
      <c r="BN61">
        <v>1802</v>
      </c>
      <c r="BO61">
        <v>117</v>
      </c>
      <c r="BP61">
        <v>718</v>
      </c>
      <c r="BQ61">
        <v>7038</v>
      </c>
      <c r="BR61">
        <v>2256</v>
      </c>
      <c r="BS61" t="s">
        <v>21</v>
      </c>
      <c r="BT61" t="s">
        <v>260</v>
      </c>
      <c r="BU61">
        <v>0</v>
      </c>
      <c r="BV61">
        <v>1</v>
      </c>
      <c r="BW61">
        <v>0</v>
      </c>
      <c r="BX61">
        <v>0.2</v>
      </c>
      <c r="BY61">
        <v>5.3</v>
      </c>
      <c r="BZ61">
        <v>5.5</v>
      </c>
      <c r="CA61">
        <v>4</v>
      </c>
      <c r="CB61">
        <v>4</v>
      </c>
      <c r="CC61">
        <v>0</v>
      </c>
      <c r="CD61">
        <f t="shared" si="21"/>
        <v>3.6363636363636376E-2</v>
      </c>
      <c r="CE61">
        <v>1</v>
      </c>
    </row>
    <row r="62" spans="1:83" x14ac:dyDescent="0.4">
      <c r="A62" t="s">
        <v>1009</v>
      </c>
      <c r="B62" t="s">
        <v>20</v>
      </c>
      <c r="C62" t="s">
        <v>73</v>
      </c>
      <c r="D62" t="s">
        <v>82</v>
      </c>
      <c r="E62" t="s">
        <v>20</v>
      </c>
      <c r="F62" t="s">
        <v>12</v>
      </c>
      <c r="G62">
        <v>65</v>
      </c>
      <c r="H62">
        <v>41</v>
      </c>
      <c r="I62">
        <v>17.5</v>
      </c>
      <c r="J62">
        <f t="shared" si="4"/>
        <v>47.5</v>
      </c>
      <c r="K62">
        <f t="shared" si="5"/>
        <v>23.5</v>
      </c>
      <c r="L62">
        <v>24</v>
      </c>
      <c r="M62">
        <v>17.63</v>
      </c>
      <c r="N62" t="s">
        <v>317</v>
      </c>
      <c r="O62" t="s">
        <v>318</v>
      </c>
      <c r="P62" t="s">
        <v>26</v>
      </c>
      <c r="Q62">
        <v>10.4</v>
      </c>
      <c r="R62" t="s">
        <v>13</v>
      </c>
      <c r="S62" t="s">
        <v>15</v>
      </c>
      <c r="T62" t="s">
        <v>14</v>
      </c>
      <c r="U62">
        <v>10</v>
      </c>
      <c r="V62" t="s">
        <v>17</v>
      </c>
      <c r="W62">
        <f t="shared" si="6"/>
        <v>1</v>
      </c>
      <c r="X62" t="s">
        <v>17</v>
      </c>
      <c r="Y62" t="s">
        <v>14</v>
      </c>
      <c r="Z62">
        <v>40</v>
      </c>
      <c r="AA62">
        <f t="shared" si="0"/>
        <v>2406.7601341054556</v>
      </c>
      <c r="AB62">
        <f t="shared" si="1"/>
        <v>23.413593416641262</v>
      </c>
      <c r="AC62">
        <f t="shared" si="2"/>
        <v>8.8448643706187138</v>
      </c>
      <c r="AD62" t="s">
        <v>15</v>
      </c>
      <c r="AE62" t="s">
        <v>15</v>
      </c>
      <c r="AF62" t="s">
        <v>18</v>
      </c>
      <c r="AG62" t="s">
        <v>14</v>
      </c>
      <c r="AH62" t="s">
        <v>14</v>
      </c>
      <c r="AI62" t="s">
        <v>18</v>
      </c>
      <c r="AJ62" t="s">
        <v>14</v>
      </c>
      <c r="AK62" t="s">
        <v>14</v>
      </c>
      <c r="AL62" t="s">
        <v>14</v>
      </c>
      <c r="AM62">
        <f t="shared" si="3"/>
        <v>37.77662067170008</v>
      </c>
      <c r="AN62">
        <f t="shared" si="7"/>
        <v>3621.4527466805521</v>
      </c>
      <c r="AO62">
        <f t="shared" si="8"/>
        <v>1812.2363967716742</v>
      </c>
      <c r="AP62">
        <f t="shared" si="9"/>
        <v>266.85758916948714</v>
      </c>
      <c r="AQ62">
        <f t="shared" si="10"/>
        <v>1380.4998698255663</v>
      </c>
      <c r="AR62">
        <f t="shared" si="11"/>
        <v>1542.3587607393908</v>
      </c>
      <c r="AS62">
        <f t="shared" si="12"/>
        <v>0.72538860103626934</v>
      </c>
      <c r="AT62">
        <f t="shared" si="13"/>
        <v>14.568729046022552</v>
      </c>
      <c r="AU62">
        <f t="shared" si="14"/>
        <v>5.0697340043134433</v>
      </c>
      <c r="AV62">
        <f t="shared" si="15"/>
        <v>38.120057512580878</v>
      </c>
      <c r="AW62">
        <f t="shared" si="16"/>
        <v>7.368799424874191</v>
      </c>
      <c r="AX62">
        <f t="shared" si="17"/>
        <v>42.589503953989933</v>
      </c>
      <c r="AY62">
        <f t="shared" si="18"/>
        <v>2034.3839541547275</v>
      </c>
      <c r="AZ62">
        <f t="shared" si="19"/>
        <v>183.59802134860715</v>
      </c>
      <c r="BA62">
        <f t="shared" si="20"/>
        <v>62.223379328299927</v>
      </c>
      <c r="BB62" t="s">
        <v>16</v>
      </c>
      <c r="BC62" t="s">
        <v>16</v>
      </c>
      <c r="BD62">
        <v>164.05</v>
      </c>
      <c r="BE62">
        <v>38.409999999999997</v>
      </c>
      <c r="BF62">
        <v>14.51</v>
      </c>
      <c r="BG62">
        <v>23.9</v>
      </c>
      <c r="BH62">
        <v>1.19</v>
      </c>
      <c r="BI62">
        <v>394829</v>
      </c>
      <c r="BJ62">
        <v>69608</v>
      </c>
      <c r="BK62">
        <v>53025</v>
      </c>
      <c r="BL62">
        <v>1774</v>
      </c>
      <c r="BM62">
        <v>965</v>
      </c>
      <c r="BN62">
        <v>7052</v>
      </c>
      <c r="BO62">
        <v>459</v>
      </c>
      <c r="BP62">
        <v>3495</v>
      </c>
      <c r="BQ62">
        <v>2722</v>
      </c>
      <c r="BR62">
        <v>255600</v>
      </c>
      <c r="BS62" t="s">
        <v>21</v>
      </c>
      <c r="BT62" t="s">
        <v>316</v>
      </c>
      <c r="BU62">
        <v>0</v>
      </c>
      <c r="BV62">
        <v>2.2999999999999998</v>
      </c>
      <c r="BW62">
        <v>1.3</v>
      </c>
      <c r="BX62">
        <v>0.1</v>
      </c>
      <c r="BY62">
        <v>206.8</v>
      </c>
      <c r="BZ62">
        <v>241.1</v>
      </c>
      <c r="CA62">
        <v>1</v>
      </c>
      <c r="CB62">
        <v>1</v>
      </c>
      <c r="CC62">
        <v>0</v>
      </c>
      <c r="CD62">
        <f t="shared" si="21"/>
        <v>0.14226462048942345</v>
      </c>
      <c r="CE62">
        <v>1</v>
      </c>
    </row>
    <row r="63" spans="1:83" x14ac:dyDescent="0.4">
      <c r="A63" t="s">
        <v>1010</v>
      </c>
      <c r="B63" t="s">
        <v>56</v>
      </c>
      <c r="C63" t="s">
        <v>82</v>
      </c>
      <c r="D63" t="s">
        <v>82</v>
      </c>
      <c r="E63" t="s">
        <v>20</v>
      </c>
      <c r="F63" t="s">
        <v>22</v>
      </c>
      <c r="G63">
        <v>30</v>
      </c>
      <c r="H63">
        <v>30</v>
      </c>
      <c r="I63">
        <v>18.5</v>
      </c>
      <c r="J63">
        <f t="shared" si="4"/>
        <v>11.5</v>
      </c>
      <c r="K63">
        <f t="shared" si="5"/>
        <v>11.5</v>
      </c>
      <c r="L63">
        <v>0</v>
      </c>
      <c r="M63">
        <v>18.5</v>
      </c>
      <c r="N63" t="s">
        <v>320</v>
      </c>
      <c r="O63" t="s">
        <v>321</v>
      </c>
      <c r="P63" t="s">
        <v>13</v>
      </c>
      <c r="Q63">
        <v>3</v>
      </c>
      <c r="R63" t="s">
        <v>26</v>
      </c>
      <c r="S63" t="s">
        <v>15</v>
      </c>
      <c r="T63" t="s">
        <v>17</v>
      </c>
      <c r="U63">
        <v>20</v>
      </c>
      <c r="V63" t="s">
        <v>17</v>
      </c>
      <c r="W63">
        <f t="shared" si="6"/>
        <v>1</v>
      </c>
      <c r="X63" t="s">
        <v>14</v>
      </c>
      <c r="Y63" t="s">
        <v>14</v>
      </c>
      <c r="Z63">
        <v>10</v>
      </c>
      <c r="AA63">
        <f t="shared" si="0"/>
        <v>2063.7649619151252</v>
      </c>
      <c r="AB63">
        <f t="shared" si="1"/>
        <v>27.747551686615886</v>
      </c>
      <c r="AC63">
        <f t="shared" si="2"/>
        <v>9.4668117519042436</v>
      </c>
      <c r="AD63" t="s">
        <v>15</v>
      </c>
      <c r="AE63" t="s">
        <v>15</v>
      </c>
      <c r="AF63" t="s">
        <v>24</v>
      </c>
      <c r="AG63" t="s">
        <v>14</v>
      </c>
      <c r="AH63" t="s">
        <v>14</v>
      </c>
      <c r="AI63" t="s">
        <v>18</v>
      </c>
      <c r="AJ63" t="s">
        <v>14</v>
      </c>
      <c r="AK63" t="s">
        <v>14</v>
      </c>
      <c r="AL63" t="s">
        <v>17</v>
      </c>
      <c r="AM63">
        <f t="shared" si="3"/>
        <v>34.117647058823529</v>
      </c>
      <c r="AN63">
        <f t="shared" si="7"/>
        <v>4632.5490196078435</v>
      </c>
      <c r="AO63">
        <f t="shared" si="8"/>
        <v>1376.0784313725492</v>
      </c>
      <c r="AP63">
        <f t="shared" si="9"/>
        <v>808.62745098039227</v>
      </c>
      <c r="AQ63">
        <f t="shared" si="10"/>
        <v>2003.1372549019609</v>
      </c>
      <c r="AR63">
        <f t="shared" si="11"/>
        <v>2447.8431372549021</v>
      </c>
      <c r="AS63">
        <f t="shared" si="12"/>
        <v>4.1349292709466816</v>
      </c>
      <c r="AT63">
        <f t="shared" si="13"/>
        <v>18.280739934711644</v>
      </c>
      <c r="AU63">
        <f t="shared" si="14"/>
        <v>10.590027935325489</v>
      </c>
      <c r="AV63">
        <f t="shared" si="15"/>
        <v>43.240497756708713</v>
      </c>
      <c r="AW63">
        <f t="shared" si="16"/>
        <v>17.45534580546855</v>
      </c>
      <c r="AX63">
        <f t="shared" si="17"/>
        <v>52.840091424701598</v>
      </c>
      <c r="AY63">
        <f t="shared" si="18"/>
        <v>1073.7951807228917</v>
      </c>
      <c r="AZ63">
        <f t="shared" si="19"/>
        <v>490.58823529411768</v>
      </c>
      <c r="BA63">
        <f t="shared" si="20"/>
        <v>65.882352941176478</v>
      </c>
      <c r="BB63" t="s">
        <v>16</v>
      </c>
      <c r="BC63" t="s">
        <v>16</v>
      </c>
      <c r="BD63">
        <v>9.19</v>
      </c>
      <c r="BE63">
        <v>2.5499999999999998</v>
      </c>
      <c r="BF63">
        <v>0.87</v>
      </c>
      <c r="BG63">
        <v>1.68</v>
      </c>
      <c r="BH63">
        <v>0.38</v>
      </c>
      <c r="BI63">
        <v>18966</v>
      </c>
      <c r="BJ63">
        <v>3509</v>
      </c>
      <c r="BK63">
        <v>5108</v>
      </c>
      <c r="BL63">
        <v>542</v>
      </c>
      <c r="BM63">
        <v>48</v>
      </c>
      <c r="BN63">
        <v>1251</v>
      </c>
      <c r="BO63">
        <v>221</v>
      </c>
      <c r="BP63">
        <v>646</v>
      </c>
      <c r="BQ63">
        <v>488</v>
      </c>
      <c r="BR63">
        <v>7130</v>
      </c>
      <c r="BS63" t="s">
        <v>21</v>
      </c>
      <c r="BT63" t="s">
        <v>171</v>
      </c>
      <c r="BU63">
        <v>0</v>
      </c>
      <c r="BV63">
        <v>11.5</v>
      </c>
      <c r="BW63">
        <v>0</v>
      </c>
      <c r="BX63">
        <v>0.1</v>
      </c>
      <c r="BY63">
        <v>20.399999999999999</v>
      </c>
      <c r="BZ63">
        <v>23.8</v>
      </c>
      <c r="CA63">
        <v>1</v>
      </c>
      <c r="CB63">
        <v>1</v>
      </c>
      <c r="CC63">
        <v>0</v>
      </c>
      <c r="CD63">
        <f t="shared" si="21"/>
        <v>0.1428571428571429</v>
      </c>
      <c r="CE63">
        <v>1</v>
      </c>
    </row>
    <row r="64" spans="1:83" x14ac:dyDescent="0.4">
      <c r="A64" t="s">
        <v>1011</v>
      </c>
      <c r="B64" t="s">
        <v>34</v>
      </c>
      <c r="C64" t="s">
        <v>34</v>
      </c>
      <c r="D64" t="s">
        <v>34</v>
      </c>
      <c r="E64" t="s">
        <v>20</v>
      </c>
      <c r="F64" t="s">
        <v>22</v>
      </c>
      <c r="G64">
        <v>70</v>
      </c>
      <c r="H64">
        <v>75</v>
      </c>
      <c r="I64">
        <v>61.5</v>
      </c>
      <c r="J64">
        <f t="shared" si="4"/>
        <v>8.5</v>
      </c>
      <c r="K64">
        <f t="shared" si="5"/>
        <v>13.5</v>
      </c>
      <c r="L64">
        <v>-5</v>
      </c>
      <c r="M64">
        <v>61.44</v>
      </c>
      <c r="N64" t="s">
        <v>322</v>
      </c>
      <c r="O64" t="s">
        <v>323</v>
      </c>
      <c r="P64" t="s">
        <v>13</v>
      </c>
      <c r="Q64">
        <v>0.7</v>
      </c>
      <c r="R64" t="s">
        <v>13</v>
      </c>
      <c r="S64" t="s">
        <v>15</v>
      </c>
      <c r="T64" t="s">
        <v>14</v>
      </c>
      <c r="U64">
        <v>5</v>
      </c>
      <c r="V64" t="s">
        <v>14</v>
      </c>
      <c r="W64">
        <f t="shared" si="6"/>
        <v>0.18181818181818182</v>
      </c>
      <c r="X64" t="s">
        <v>14</v>
      </c>
      <c r="Y64" t="s">
        <v>14</v>
      </c>
      <c r="Z64">
        <v>0</v>
      </c>
      <c r="AA64">
        <f t="shared" si="0"/>
        <v>3150.3440366972477</v>
      </c>
      <c r="AB64">
        <f t="shared" si="1"/>
        <v>34.288990825688067</v>
      </c>
      <c r="AC64">
        <f t="shared" si="2"/>
        <v>21.559633027522935</v>
      </c>
      <c r="AD64" t="s">
        <v>15</v>
      </c>
      <c r="AE64" t="s">
        <v>15</v>
      </c>
      <c r="AF64" t="s">
        <v>18</v>
      </c>
      <c r="AG64" t="s">
        <v>14</v>
      </c>
      <c r="AH64" t="s">
        <v>17</v>
      </c>
      <c r="AI64" t="s">
        <v>41</v>
      </c>
      <c r="AJ64" t="s">
        <v>14</v>
      </c>
      <c r="AK64" t="s">
        <v>14</v>
      </c>
      <c r="AL64" t="s">
        <v>14</v>
      </c>
      <c r="AM64">
        <f t="shared" si="3"/>
        <v>62.876254180602004</v>
      </c>
      <c r="AN64">
        <f t="shared" si="7"/>
        <v>7924.7491638795982</v>
      </c>
      <c r="AO64">
        <f t="shared" si="8"/>
        <v>5645.1505016722404</v>
      </c>
      <c r="AP64">
        <f t="shared" si="9"/>
        <v>1311.0367892976587</v>
      </c>
      <c r="AQ64">
        <f t="shared" si="10"/>
        <v>798.32775919732433</v>
      </c>
      <c r="AR64">
        <f t="shared" si="11"/>
        <v>968.56187290969888</v>
      </c>
      <c r="AS64">
        <f t="shared" si="12"/>
        <v>1.0321100917431192</v>
      </c>
      <c r="AT64">
        <f t="shared" si="13"/>
        <v>12.729357798165138</v>
      </c>
      <c r="AU64">
        <f t="shared" si="14"/>
        <v>14.446085672082718</v>
      </c>
      <c r="AV64">
        <f t="shared" si="15"/>
        <v>10.073855243722305</v>
      </c>
      <c r="AW64">
        <f t="shared" si="16"/>
        <v>16.543574593796158</v>
      </c>
      <c r="AX64">
        <f t="shared" si="17"/>
        <v>12.221987761131039</v>
      </c>
      <c r="AY64">
        <f t="shared" si="18"/>
        <v>656.54450261780096</v>
      </c>
      <c r="AZ64">
        <f t="shared" si="19"/>
        <v>1144.8160535117056</v>
      </c>
      <c r="BA64">
        <f t="shared" si="20"/>
        <v>37.123745819397996</v>
      </c>
      <c r="BB64" t="s">
        <v>57</v>
      </c>
      <c r="BC64" t="s">
        <v>31</v>
      </c>
      <c r="BD64">
        <v>8.7200000000000006</v>
      </c>
      <c r="BE64">
        <v>2.99</v>
      </c>
      <c r="BF64">
        <v>1.88</v>
      </c>
      <c r="BG64">
        <v>1.1100000000000001</v>
      </c>
      <c r="BH64">
        <v>0.09</v>
      </c>
      <c r="BI64">
        <v>27471</v>
      </c>
      <c r="BJ64">
        <v>16879</v>
      </c>
      <c r="BK64">
        <v>2387</v>
      </c>
      <c r="BL64">
        <v>364</v>
      </c>
      <c r="BM64">
        <v>39</v>
      </c>
      <c r="BN64">
        <v>3423</v>
      </c>
      <c r="BO64">
        <v>94</v>
      </c>
      <c r="BP64">
        <v>468</v>
      </c>
      <c r="BQ64">
        <v>41</v>
      </c>
      <c r="BR64">
        <v>3762</v>
      </c>
      <c r="BS64" t="s">
        <v>21</v>
      </c>
      <c r="BT64" t="s">
        <v>267</v>
      </c>
      <c r="BU64">
        <v>0.1</v>
      </c>
      <c r="BV64">
        <v>0</v>
      </c>
      <c r="BW64">
        <v>0</v>
      </c>
      <c r="BX64">
        <v>0.1</v>
      </c>
      <c r="BY64">
        <v>14.2</v>
      </c>
      <c r="BZ64">
        <v>14.3</v>
      </c>
      <c r="CA64">
        <v>10</v>
      </c>
      <c r="CB64">
        <v>2</v>
      </c>
      <c r="CC64">
        <v>0</v>
      </c>
      <c r="CD64">
        <f t="shared" si="21"/>
        <v>6.9930069930070893E-3</v>
      </c>
      <c r="CE64">
        <v>0.2</v>
      </c>
    </row>
    <row r="65" spans="1:83" x14ac:dyDescent="0.4">
      <c r="A65" t="s">
        <v>1012</v>
      </c>
      <c r="B65" t="s">
        <v>34</v>
      </c>
      <c r="C65" t="s">
        <v>34</v>
      </c>
      <c r="D65" t="s">
        <v>34</v>
      </c>
      <c r="E65" t="s">
        <v>20</v>
      </c>
      <c r="F65" t="s">
        <v>12</v>
      </c>
      <c r="G65">
        <v>80</v>
      </c>
      <c r="H65">
        <v>90</v>
      </c>
      <c r="I65">
        <v>79.5</v>
      </c>
      <c r="J65">
        <f t="shared" si="4"/>
        <v>0.5</v>
      </c>
      <c r="K65">
        <f t="shared" si="5"/>
        <v>10.5</v>
      </c>
      <c r="L65">
        <v>-10</v>
      </c>
      <c r="M65">
        <v>79.34</v>
      </c>
      <c r="N65" t="s">
        <v>286</v>
      </c>
      <c r="O65" t="s">
        <v>325</v>
      </c>
      <c r="P65" t="s">
        <v>13</v>
      </c>
      <c r="Q65">
        <v>0.1</v>
      </c>
      <c r="R65" t="s">
        <v>26</v>
      </c>
      <c r="S65" t="s">
        <v>27</v>
      </c>
      <c r="T65" t="s">
        <v>14</v>
      </c>
      <c r="U65">
        <v>0</v>
      </c>
      <c r="V65" t="s">
        <v>14</v>
      </c>
      <c r="W65">
        <f t="shared" si="6"/>
        <v>1</v>
      </c>
      <c r="X65" t="s">
        <v>14</v>
      </c>
      <c r="Y65" t="s">
        <v>14</v>
      </c>
      <c r="Z65">
        <v>0</v>
      </c>
      <c r="AA65">
        <f t="shared" si="0"/>
        <v>8881.855209565103</v>
      </c>
      <c r="AB65">
        <f t="shared" si="1"/>
        <v>91.153155520518538</v>
      </c>
      <c r="AC65">
        <f t="shared" si="2"/>
        <v>85.551613892173606</v>
      </c>
      <c r="AD65" t="s">
        <v>15</v>
      </c>
      <c r="AE65" t="s">
        <v>15</v>
      </c>
      <c r="AF65" t="s">
        <v>18</v>
      </c>
      <c r="AG65" t="s">
        <v>14</v>
      </c>
      <c r="AH65" t="s">
        <v>17</v>
      </c>
      <c r="AI65" t="s">
        <v>41</v>
      </c>
      <c r="AJ65" t="s">
        <v>14</v>
      </c>
      <c r="AK65" t="s">
        <v>17</v>
      </c>
      <c r="AL65" t="s">
        <v>14</v>
      </c>
      <c r="AM65">
        <f t="shared" si="3"/>
        <v>93.854802287032143</v>
      </c>
      <c r="AN65">
        <f t="shared" si="7"/>
        <v>9319.9202421563441</v>
      </c>
      <c r="AO65">
        <f t="shared" si="8"/>
        <v>7730.5097775428821</v>
      </c>
      <c r="AP65">
        <f t="shared" si="9"/>
        <v>1325.2486426752512</v>
      </c>
      <c r="AQ65">
        <f t="shared" si="10"/>
        <v>174.21803680392063</v>
      </c>
      <c r="AR65">
        <f t="shared" si="11"/>
        <v>264.16182193821169</v>
      </c>
      <c r="AS65">
        <f t="shared" si="12"/>
        <v>0.26277755879647879</v>
      </c>
      <c r="AT65">
        <f t="shared" si="13"/>
        <v>5.6015416283449389</v>
      </c>
      <c r="AU65">
        <f t="shared" si="14"/>
        <v>12.469358243695725</v>
      </c>
      <c r="AV65">
        <f t="shared" si="15"/>
        <v>1.8693082373804939</v>
      </c>
      <c r="AW65">
        <f t="shared" si="16"/>
        <v>14.219527723862035</v>
      </c>
      <c r="AX65">
        <f t="shared" si="17"/>
        <v>2.8343785684274558</v>
      </c>
      <c r="AY65">
        <f t="shared" si="18"/>
        <v>4330.2970297029669</v>
      </c>
      <c r="AZ65">
        <f t="shared" si="19"/>
        <v>1162.1342430211887</v>
      </c>
      <c r="BA65">
        <f t="shared" si="20"/>
        <v>6.1451977129678568</v>
      </c>
      <c r="BB65" t="s">
        <v>16</v>
      </c>
      <c r="BC65" t="s">
        <v>16</v>
      </c>
      <c r="BD65">
        <v>228.33</v>
      </c>
      <c r="BE65">
        <v>208.13</v>
      </c>
      <c r="BF65">
        <v>195.34</v>
      </c>
      <c r="BG65">
        <v>12.79</v>
      </c>
      <c r="BH65">
        <v>0.6</v>
      </c>
      <c r="BI65">
        <v>2027994</v>
      </c>
      <c r="BJ65">
        <v>1608951</v>
      </c>
      <c r="BK65">
        <v>36260</v>
      </c>
      <c r="BL65">
        <v>29545</v>
      </c>
      <c r="BM65">
        <v>1740</v>
      </c>
      <c r="BN65">
        <v>241875</v>
      </c>
      <c r="BO65">
        <v>2664</v>
      </c>
      <c r="BP65">
        <v>15646</v>
      </c>
      <c r="BQ65">
        <v>3074</v>
      </c>
      <c r="BR65">
        <v>87472</v>
      </c>
      <c r="BS65" t="s">
        <v>21</v>
      </c>
      <c r="BT65" t="s">
        <v>324</v>
      </c>
      <c r="BU65">
        <v>0</v>
      </c>
      <c r="BV65">
        <v>0.2</v>
      </c>
      <c r="BW65">
        <v>0</v>
      </c>
      <c r="BX65">
        <v>1.4</v>
      </c>
      <c r="BY65">
        <v>236.4</v>
      </c>
      <c r="BZ65">
        <v>240.6</v>
      </c>
      <c r="CA65">
        <v>1</v>
      </c>
      <c r="CB65">
        <v>1</v>
      </c>
      <c r="CC65">
        <v>0</v>
      </c>
      <c r="CD65">
        <f t="shared" si="21"/>
        <v>1.7456359102244301E-2</v>
      </c>
      <c r="CE65">
        <v>1</v>
      </c>
    </row>
    <row r="66" spans="1:83" x14ac:dyDescent="0.4">
      <c r="A66" t="s">
        <v>1013</v>
      </c>
      <c r="B66" t="s">
        <v>20</v>
      </c>
      <c r="C66" t="s">
        <v>73</v>
      </c>
      <c r="D66" t="s">
        <v>82</v>
      </c>
      <c r="E66" t="s">
        <v>20</v>
      </c>
      <c r="F66" t="s">
        <v>12</v>
      </c>
      <c r="G66">
        <v>80</v>
      </c>
      <c r="H66">
        <v>76</v>
      </c>
      <c r="I66">
        <v>64.5</v>
      </c>
      <c r="J66">
        <f t="shared" si="4"/>
        <v>15.5</v>
      </c>
      <c r="K66">
        <f t="shared" si="5"/>
        <v>11.5</v>
      </c>
      <c r="L66">
        <v>4</v>
      </c>
      <c r="M66">
        <v>64.33</v>
      </c>
      <c r="N66" t="s">
        <v>326</v>
      </c>
      <c r="O66" t="s">
        <v>327</v>
      </c>
      <c r="P66" t="s">
        <v>13</v>
      </c>
      <c r="Q66">
        <v>1.6</v>
      </c>
      <c r="R66" t="s">
        <v>13</v>
      </c>
      <c r="S66" t="s">
        <v>15</v>
      </c>
      <c r="T66" t="s">
        <v>17</v>
      </c>
      <c r="U66">
        <v>0</v>
      </c>
      <c r="V66" t="s">
        <v>14</v>
      </c>
      <c r="W66">
        <f t="shared" si="6"/>
        <v>1</v>
      </c>
      <c r="X66" t="s">
        <v>17</v>
      </c>
      <c r="Y66" t="s">
        <v>14</v>
      </c>
      <c r="Z66">
        <v>0</v>
      </c>
      <c r="AA66">
        <f t="shared" ref="AA66:AA129" si="22">BI66/BD66</f>
        <v>2799.2912900575188</v>
      </c>
      <c r="AB66">
        <f t="shared" ref="AB66:AB129" si="23">BE66*100/BD66</f>
        <v>51.417419884963024</v>
      </c>
      <c r="AC66">
        <f t="shared" ref="AC66:AC129" si="24">BF66*100/BD66</f>
        <v>37.845795672418518</v>
      </c>
      <c r="AD66" t="s">
        <v>15</v>
      </c>
      <c r="AE66" t="s">
        <v>15</v>
      </c>
      <c r="AF66" t="s">
        <v>18</v>
      </c>
      <c r="AG66" t="s">
        <v>14</v>
      </c>
      <c r="AH66" t="s">
        <v>14</v>
      </c>
      <c r="AI66" t="s">
        <v>18</v>
      </c>
      <c r="AJ66" t="s">
        <v>14</v>
      </c>
      <c r="AK66" t="s">
        <v>14</v>
      </c>
      <c r="AL66" t="s">
        <v>14</v>
      </c>
      <c r="AM66">
        <f t="shared" ref="AM66:AM129" si="25">BF66*100/BE66</f>
        <v>73.605007324543877</v>
      </c>
      <c r="AN66">
        <f t="shared" si="7"/>
        <v>4241.7965108536418</v>
      </c>
      <c r="AO66">
        <f t="shared" si="8"/>
        <v>3502.0974830203754</v>
      </c>
      <c r="AP66">
        <f t="shared" si="9"/>
        <v>336.54281528832064</v>
      </c>
      <c r="AQ66">
        <f t="shared" si="10"/>
        <v>366.75322945798376</v>
      </c>
      <c r="AR66">
        <f t="shared" si="11"/>
        <v>403.15621254494607</v>
      </c>
      <c r="AS66">
        <f t="shared" si="12"/>
        <v>1.4893179950698439</v>
      </c>
      <c r="AT66">
        <f t="shared" si="13"/>
        <v>13.568200493015615</v>
      </c>
      <c r="AU66">
        <f t="shared" si="14"/>
        <v>1.8422907447494872</v>
      </c>
      <c r="AV66">
        <f t="shared" si="15"/>
        <v>8.6461768856558443</v>
      </c>
      <c r="AW66">
        <f t="shared" si="16"/>
        <v>7.9339688838725779</v>
      </c>
      <c r="AX66">
        <f t="shared" si="17"/>
        <v>9.5043741846968679</v>
      </c>
      <c r="AY66">
        <f t="shared" si="18"/>
        <v>1271.8040873854829</v>
      </c>
      <c r="AZ66">
        <f t="shared" si="19"/>
        <v>78.146224530563316</v>
      </c>
      <c r="BA66">
        <f t="shared" si="20"/>
        <v>26.38833399920096</v>
      </c>
      <c r="BB66" t="s">
        <v>16</v>
      </c>
      <c r="BC66" t="s">
        <v>16</v>
      </c>
      <c r="BD66">
        <v>292.08</v>
      </c>
      <c r="BE66">
        <v>150.18</v>
      </c>
      <c r="BF66">
        <v>110.54</v>
      </c>
      <c r="BG66">
        <v>39.630000000000003</v>
      </c>
      <c r="BH66">
        <v>4.3499999999999996</v>
      </c>
      <c r="BI66">
        <v>817617</v>
      </c>
      <c r="BJ66">
        <v>525945</v>
      </c>
      <c r="BK66">
        <v>55079</v>
      </c>
      <c r="BL66">
        <v>36511</v>
      </c>
      <c r="BM66">
        <v>889</v>
      </c>
      <c r="BN66">
        <v>11736</v>
      </c>
      <c r="BO66">
        <v>1406</v>
      </c>
      <c r="BP66">
        <v>4169</v>
      </c>
      <c r="BQ66">
        <v>1298</v>
      </c>
      <c r="BR66">
        <v>180469</v>
      </c>
      <c r="BS66" t="s">
        <v>21</v>
      </c>
      <c r="BT66" t="s">
        <v>288</v>
      </c>
      <c r="BU66">
        <v>0</v>
      </c>
      <c r="BV66">
        <v>0.6</v>
      </c>
      <c r="BW66">
        <v>1.8</v>
      </c>
      <c r="BX66">
        <v>0.1</v>
      </c>
      <c r="BY66">
        <v>319.10000000000002</v>
      </c>
      <c r="BZ66">
        <v>332.7</v>
      </c>
      <c r="CA66">
        <v>1</v>
      </c>
      <c r="CB66">
        <v>1</v>
      </c>
      <c r="CC66">
        <v>0</v>
      </c>
      <c r="CD66">
        <f t="shared" si="21"/>
        <v>4.087766756837985E-2</v>
      </c>
      <c r="CE66">
        <v>1</v>
      </c>
    </row>
    <row r="67" spans="1:83" x14ac:dyDescent="0.4">
      <c r="A67" t="s">
        <v>1014</v>
      </c>
      <c r="B67" t="s">
        <v>42</v>
      </c>
      <c r="C67" t="s">
        <v>82</v>
      </c>
      <c r="D67" t="s">
        <v>82</v>
      </c>
      <c r="E67" t="s">
        <v>20</v>
      </c>
      <c r="F67" t="s">
        <v>22</v>
      </c>
      <c r="G67">
        <v>75</v>
      </c>
      <c r="H67">
        <v>90</v>
      </c>
      <c r="I67">
        <v>48</v>
      </c>
      <c r="J67">
        <f t="shared" ref="J67:J130" si="26">G67-I67</f>
        <v>27</v>
      </c>
      <c r="K67">
        <f t="shared" ref="K67:K130" si="27">H67-I67</f>
        <v>42</v>
      </c>
      <c r="L67">
        <v>-15</v>
      </c>
      <c r="M67">
        <v>47.81</v>
      </c>
      <c r="N67" t="s">
        <v>329</v>
      </c>
      <c r="O67" t="s">
        <v>330</v>
      </c>
      <c r="P67" t="s">
        <v>13</v>
      </c>
      <c r="Q67">
        <v>1.4</v>
      </c>
      <c r="R67" t="s">
        <v>38</v>
      </c>
      <c r="S67" t="s">
        <v>27</v>
      </c>
      <c r="T67" t="s">
        <v>14</v>
      </c>
      <c r="U67">
        <v>50</v>
      </c>
      <c r="V67" t="s">
        <v>17</v>
      </c>
      <c r="W67">
        <f t="shared" ref="W67:W130" si="28">BC67/BB67</f>
        <v>1</v>
      </c>
      <c r="X67" t="s">
        <v>14</v>
      </c>
      <c r="Y67" t="s">
        <v>17</v>
      </c>
      <c r="Z67">
        <v>30</v>
      </c>
      <c r="AA67">
        <f t="shared" si="22"/>
        <v>3564.8618431560453</v>
      </c>
      <c r="AB67">
        <f t="shared" si="23"/>
        <v>70.180482351062125</v>
      </c>
      <c r="AC67">
        <f t="shared" si="24"/>
        <v>20.108608848426769</v>
      </c>
      <c r="AD67" t="s">
        <v>37</v>
      </c>
      <c r="AE67" t="s">
        <v>15</v>
      </c>
      <c r="AF67" t="s">
        <v>18</v>
      </c>
      <c r="AG67" t="s">
        <v>14</v>
      </c>
      <c r="AH67" t="s">
        <v>14</v>
      </c>
      <c r="AI67" t="s">
        <v>18</v>
      </c>
      <c r="AJ67" t="s">
        <v>14</v>
      </c>
      <c r="AK67" t="s">
        <v>14</v>
      </c>
      <c r="AL67" t="s">
        <v>14</v>
      </c>
      <c r="AM67">
        <f t="shared" si="25"/>
        <v>28.652708238507056</v>
      </c>
      <c r="AN67">
        <f t="shared" ref="AN67:AN130" si="29">SUM(BJ67:BQ67)/BE67</f>
        <v>4557.510241238052</v>
      </c>
      <c r="AO67">
        <f t="shared" ref="AO67:AO130" si="30">BJ67/BE67</f>
        <v>2428.6754665452891</v>
      </c>
      <c r="AP67">
        <f t="shared" ref="AP67:AP130" si="31">SUM(BL67:BO67)/BE67</f>
        <v>1263.3363677742377</v>
      </c>
      <c r="AQ67">
        <f t="shared" ref="AQ67:AQ130" si="32">BK67/BE67</f>
        <v>513.81429221665906</v>
      </c>
      <c r="AR67">
        <f t="shared" ref="AR67:AR130" si="33">SUM(BK67,BP67,BQ67)/BE67</f>
        <v>865.49840691852535</v>
      </c>
      <c r="AS67">
        <f t="shared" ref="AS67:AS130" si="34">BH67*100/BD67</f>
        <v>10.33381249001757</v>
      </c>
      <c r="AT67">
        <f t="shared" ref="AT67:AT130" si="35">BG67*100/BD67</f>
        <v>50.071873502635363</v>
      </c>
      <c r="AU67">
        <f t="shared" ref="AU67:AU130" si="36">BN67*100/SUM(BJ67:BQ67)</f>
        <v>23.430891304673494</v>
      </c>
      <c r="AV67">
        <f t="shared" ref="AV67:AV130" si="37">BK67*100/SUM(BJ67:BQ67)</f>
        <v>11.274012893431941</v>
      </c>
      <c r="AW67">
        <f t="shared" ref="AW67:AW130" si="38">SUM(BL67,BM67,BN67,BO67)*100/SUM(BJ67:BQ67)</f>
        <v>27.719879954258776</v>
      </c>
      <c r="AX67">
        <f t="shared" ref="AX67:AX130" si="39">SUM(BK67,BP67,BQ67)*100/SUM(BJ67:BQ67)</f>
        <v>18.990597082748668</v>
      </c>
      <c r="AY67">
        <f t="shared" ref="AY67:AY130" si="40">BR67/(BD67-BE67)</f>
        <v>1220.4070701660416</v>
      </c>
      <c r="AZ67">
        <f t="shared" ref="AZ67:AZ130" si="41">BN67/BE67</f>
        <v>1067.8652708238508</v>
      </c>
      <c r="BA67">
        <f t="shared" ref="BA67:BA130" si="42">BG67*100/BE67</f>
        <v>71.347291761492954</v>
      </c>
      <c r="BB67" t="s">
        <v>58</v>
      </c>
      <c r="BC67" t="s">
        <v>58</v>
      </c>
      <c r="BD67">
        <v>62.61</v>
      </c>
      <c r="BE67">
        <v>43.94</v>
      </c>
      <c r="BF67">
        <v>12.59</v>
      </c>
      <c r="BG67">
        <v>31.35</v>
      </c>
      <c r="BH67">
        <v>6.47</v>
      </c>
      <c r="BI67">
        <v>223196</v>
      </c>
      <c r="BJ67">
        <v>106716</v>
      </c>
      <c r="BK67">
        <v>22577</v>
      </c>
      <c r="BL67">
        <v>3525</v>
      </c>
      <c r="BM67">
        <v>1342</v>
      </c>
      <c r="BN67">
        <v>46922</v>
      </c>
      <c r="BO67">
        <v>3722</v>
      </c>
      <c r="BP67">
        <v>7580</v>
      </c>
      <c r="BQ67">
        <v>7873</v>
      </c>
      <c r="BR67">
        <v>22785</v>
      </c>
      <c r="BS67" t="s">
        <v>21</v>
      </c>
      <c r="BT67" t="s">
        <v>328</v>
      </c>
      <c r="BU67">
        <v>0</v>
      </c>
      <c r="BV67">
        <v>3</v>
      </c>
      <c r="BW67">
        <v>0.4</v>
      </c>
      <c r="BX67">
        <v>9.5</v>
      </c>
      <c r="BY67">
        <v>69.3</v>
      </c>
      <c r="BZ67">
        <v>80.900000000000006</v>
      </c>
      <c r="CA67">
        <v>10</v>
      </c>
      <c r="CB67">
        <v>10</v>
      </c>
      <c r="CC67">
        <v>0</v>
      </c>
      <c r="CD67">
        <f t="shared" ref="CD67:CD130" si="43">1-(BY67/BZ67)</f>
        <v>0.14338689740420285</v>
      </c>
      <c r="CE67">
        <v>1</v>
      </c>
    </row>
    <row r="68" spans="1:83" x14ac:dyDescent="0.4">
      <c r="A68" t="s">
        <v>1015</v>
      </c>
      <c r="B68" t="s">
        <v>34</v>
      </c>
      <c r="C68" t="s">
        <v>34</v>
      </c>
      <c r="D68" t="s">
        <v>34</v>
      </c>
      <c r="E68" t="s">
        <v>59</v>
      </c>
      <c r="F68" t="s">
        <v>22</v>
      </c>
      <c r="G68">
        <v>50</v>
      </c>
      <c r="H68">
        <v>42</v>
      </c>
      <c r="I68">
        <v>55.5</v>
      </c>
      <c r="J68">
        <f t="shared" si="26"/>
        <v>-5.5</v>
      </c>
      <c r="K68">
        <f t="shared" si="27"/>
        <v>-13.5</v>
      </c>
      <c r="L68">
        <v>8</v>
      </c>
      <c r="M68">
        <v>55.74</v>
      </c>
      <c r="N68" t="s">
        <v>332</v>
      </c>
      <c r="O68" t="s">
        <v>333</v>
      </c>
      <c r="P68" t="s">
        <v>13</v>
      </c>
      <c r="Q68">
        <v>0.7</v>
      </c>
      <c r="R68" t="s">
        <v>26</v>
      </c>
      <c r="S68" t="s">
        <v>15</v>
      </c>
      <c r="T68" t="s">
        <v>14</v>
      </c>
      <c r="U68">
        <v>27.5</v>
      </c>
      <c r="V68" t="s">
        <v>17</v>
      </c>
      <c r="W68">
        <f t="shared" si="28"/>
        <v>0.83333333333333337</v>
      </c>
      <c r="X68" t="s">
        <v>14</v>
      </c>
      <c r="Y68" t="s">
        <v>17</v>
      </c>
      <c r="Z68">
        <v>10</v>
      </c>
      <c r="AA68">
        <f t="shared" si="22"/>
        <v>3720.4280155642027</v>
      </c>
      <c r="AB68">
        <f t="shared" si="23"/>
        <v>47.47081712062257</v>
      </c>
      <c r="AC68">
        <f t="shared" si="24"/>
        <v>25.097276264591443</v>
      </c>
      <c r="AD68" t="s">
        <v>15</v>
      </c>
      <c r="AE68" t="s">
        <v>27</v>
      </c>
      <c r="AF68" t="s">
        <v>18</v>
      </c>
      <c r="AG68" t="s">
        <v>14</v>
      </c>
      <c r="AH68" t="s">
        <v>14</v>
      </c>
      <c r="AI68" t="s">
        <v>14</v>
      </c>
      <c r="AJ68" t="s">
        <v>14</v>
      </c>
      <c r="AK68" t="s">
        <v>14</v>
      </c>
      <c r="AL68" t="s">
        <v>14</v>
      </c>
      <c r="AM68">
        <f t="shared" si="25"/>
        <v>52.868852459016395</v>
      </c>
      <c r="AN68">
        <f t="shared" si="29"/>
        <v>6201.6393442622948</v>
      </c>
      <c r="AO68">
        <f t="shared" si="30"/>
        <v>4368.4426229508199</v>
      </c>
      <c r="AP68">
        <f t="shared" si="31"/>
        <v>856.96721311475414</v>
      </c>
      <c r="AQ68">
        <f t="shared" si="32"/>
        <v>771.31147540983613</v>
      </c>
      <c r="AR68">
        <f t="shared" si="33"/>
        <v>976.22950819672133</v>
      </c>
      <c r="AS68">
        <f t="shared" si="34"/>
        <v>7.5875486381322963</v>
      </c>
      <c r="AT68">
        <f t="shared" si="35"/>
        <v>22.373540856031127</v>
      </c>
      <c r="AU68">
        <f t="shared" si="36"/>
        <v>8.6835844567803324</v>
      </c>
      <c r="AV68">
        <f t="shared" si="37"/>
        <v>12.437219138250066</v>
      </c>
      <c r="AW68">
        <f t="shared" si="38"/>
        <v>13.818398096748613</v>
      </c>
      <c r="AX68">
        <f t="shared" si="39"/>
        <v>15.741475019825534</v>
      </c>
      <c r="AY68">
        <f t="shared" si="40"/>
        <v>1471.1111111111113</v>
      </c>
      <c r="AZ68">
        <f t="shared" si="41"/>
        <v>538.52459016393448</v>
      </c>
      <c r="BA68">
        <f t="shared" si="42"/>
        <v>47.131147540983605</v>
      </c>
      <c r="BB68" t="s">
        <v>23</v>
      </c>
      <c r="BC68" t="s">
        <v>39</v>
      </c>
      <c r="BD68">
        <v>5.14</v>
      </c>
      <c r="BE68">
        <v>2.44</v>
      </c>
      <c r="BF68">
        <v>1.29</v>
      </c>
      <c r="BG68">
        <v>1.1499999999999999</v>
      </c>
      <c r="BH68">
        <v>0.39</v>
      </c>
      <c r="BI68">
        <v>19123</v>
      </c>
      <c r="BJ68">
        <v>10659</v>
      </c>
      <c r="BK68">
        <v>1882</v>
      </c>
      <c r="BL68">
        <v>364</v>
      </c>
      <c r="BM68">
        <v>196</v>
      </c>
      <c r="BN68">
        <v>1314</v>
      </c>
      <c r="BO68">
        <v>217</v>
      </c>
      <c r="BP68">
        <v>347</v>
      </c>
      <c r="BQ68">
        <v>153</v>
      </c>
      <c r="BR68">
        <v>3972</v>
      </c>
      <c r="BS68" t="s">
        <v>21</v>
      </c>
      <c r="BT68" t="s">
        <v>155</v>
      </c>
      <c r="BU68">
        <v>0.2</v>
      </c>
      <c r="BV68">
        <v>0.1</v>
      </c>
      <c r="BW68">
        <v>0</v>
      </c>
      <c r="BX68">
        <v>2</v>
      </c>
      <c r="BY68">
        <v>7.5</v>
      </c>
      <c r="BZ68">
        <v>7.8</v>
      </c>
      <c r="CA68">
        <v>10</v>
      </c>
      <c r="CB68">
        <v>10</v>
      </c>
      <c r="CC68">
        <v>0</v>
      </c>
      <c r="CD68">
        <f t="shared" si="43"/>
        <v>3.8461538461538436E-2</v>
      </c>
      <c r="CE68">
        <v>1</v>
      </c>
    </row>
    <row r="69" spans="1:83" x14ac:dyDescent="0.4">
      <c r="A69" t="s">
        <v>1016</v>
      </c>
      <c r="B69" t="s">
        <v>25</v>
      </c>
      <c r="C69" t="s">
        <v>82</v>
      </c>
      <c r="D69" t="s">
        <v>82</v>
      </c>
      <c r="E69" t="s">
        <v>59</v>
      </c>
      <c r="F69" t="s">
        <v>22</v>
      </c>
      <c r="G69">
        <v>30</v>
      </c>
      <c r="H69">
        <v>20</v>
      </c>
      <c r="I69">
        <v>12.5</v>
      </c>
      <c r="J69">
        <f t="shared" si="26"/>
        <v>17.5</v>
      </c>
      <c r="K69">
        <f t="shared" si="27"/>
        <v>7.5</v>
      </c>
      <c r="L69">
        <v>10</v>
      </c>
      <c r="M69">
        <v>12.52</v>
      </c>
      <c r="N69" t="s">
        <v>334</v>
      </c>
      <c r="O69" t="s">
        <v>335</v>
      </c>
      <c r="P69" t="s">
        <v>13</v>
      </c>
      <c r="Q69">
        <v>0</v>
      </c>
      <c r="R69" t="s">
        <v>13</v>
      </c>
      <c r="S69" t="s">
        <v>15</v>
      </c>
      <c r="T69" t="s">
        <v>14</v>
      </c>
      <c r="U69">
        <v>0</v>
      </c>
      <c r="V69" t="s">
        <v>14</v>
      </c>
      <c r="W69">
        <f t="shared" si="28"/>
        <v>1</v>
      </c>
      <c r="X69" t="s">
        <v>14</v>
      </c>
      <c r="Y69" t="s">
        <v>14</v>
      </c>
      <c r="Z69">
        <v>0</v>
      </c>
      <c r="AA69">
        <f t="shared" si="22"/>
        <v>2999.8771498771498</v>
      </c>
      <c r="AB69">
        <f t="shared" si="23"/>
        <v>42.137592137592137</v>
      </c>
      <c r="AC69">
        <f t="shared" si="24"/>
        <v>7.6167076167076164</v>
      </c>
      <c r="AD69" t="s">
        <v>15</v>
      </c>
      <c r="AE69" t="s">
        <v>15</v>
      </c>
      <c r="AF69" t="s">
        <v>24</v>
      </c>
      <c r="AG69" t="s">
        <v>14</v>
      </c>
      <c r="AH69" t="s">
        <v>17</v>
      </c>
      <c r="AI69" t="s">
        <v>18</v>
      </c>
      <c r="AJ69" t="s">
        <v>14</v>
      </c>
      <c r="AK69" t="s">
        <v>14</v>
      </c>
      <c r="AL69" t="s">
        <v>17</v>
      </c>
      <c r="AM69">
        <f t="shared" si="25"/>
        <v>18.075801749271136</v>
      </c>
      <c r="AN69">
        <f t="shared" si="29"/>
        <v>3963.8483965014575</v>
      </c>
      <c r="AO69">
        <f t="shared" si="30"/>
        <v>891.54518950437318</v>
      </c>
      <c r="AP69">
        <f t="shared" si="31"/>
        <v>348.9795918367347</v>
      </c>
      <c r="AQ69">
        <f t="shared" si="32"/>
        <v>2530.612244897959</v>
      </c>
      <c r="AR69">
        <f t="shared" si="33"/>
        <v>2723.3236151603496</v>
      </c>
      <c r="AS69">
        <f t="shared" si="34"/>
        <v>0.24570024570024568</v>
      </c>
      <c r="AT69">
        <f t="shared" si="35"/>
        <v>34.520884520884522</v>
      </c>
      <c r="AU69">
        <f t="shared" si="36"/>
        <v>7.6640188290673725</v>
      </c>
      <c r="AV69">
        <f t="shared" si="37"/>
        <v>63.842306560753165</v>
      </c>
      <c r="AW69">
        <f t="shared" si="38"/>
        <v>8.804060017652251</v>
      </c>
      <c r="AX69">
        <f t="shared" si="39"/>
        <v>68.704030597234478</v>
      </c>
      <c r="AY69">
        <f t="shared" si="40"/>
        <v>2295.7537154989382</v>
      </c>
      <c r="AZ69">
        <f t="shared" si="41"/>
        <v>303.79008746355686</v>
      </c>
      <c r="BA69">
        <f t="shared" si="42"/>
        <v>81.924198250728864</v>
      </c>
      <c r="BB69" t="s">
        <v>16</v>
      </c>
      <c r="BC69" t="s">
        <v>16</v>
      </c>
      <c r="BD69">
        <v>8.14</v>
      </c>
      <c r="BE69">
        <v>3.43</v>
      </c>
      <c r="BF69">
        <v>0.62</v>
      </c>
      <c r="BG69">
        <v>2.81</v>
      </c>
      <c r="BH69">
        <v>0.02</v>
      </c>
      <c r="BI69">
        <v>24419</v>
      </c>
      <c r="BJ69">
        <v>3058</v>
      </c>
      <c r="BK69">
        <v>8680</v>
      </c>
      <c r="BL69">
        <v>61</v>
      </c>
      <c r="BM69">
        <v>36</v>
      </c>
      <c r="BN69">
        <v>1042</v>
      </c>
      <c r="BO69">
        <v>58</v>
      </c>
      <c r="BP69">
        <v>420</v>
      </c>
      <c r="BQ69">
        <v>241</v>
      </c>
      <c r="BR69">
        <v>10813</v>
      </c>
      <c r="BS69" t="s">
        <v>44</v>
      </c>
      <c r="BT69" t="s">
        <v>165</v>
      </c>
      <c r="BU69">
        <v>0</v>
      </c>
      <c r="BV69">
        <v>0</v>
      </c>
      <c r="BW69">
        <v>0</v>
      </c>
      <c r="BX69">
        <v>0.1</v>
      </c>
      <c r="BY69">
        <v>8.6999999999999993</v>
      </c>
      <c r="BZ69">
        <v>8.6999999999999993</v>
      </c>
      <c r="CA69">
        <v>1</v>
      </c>
      <c r="CB69">
        <v>1</v>
      </c>
      <c r="CC69">
        <v>0</v>
      </c>
      <c r="CD69">
        <f t="shared" si="43"/>
        <v>0</v>
      </c>
      <c r="CE69">
        <v>1</v>
      </c>
    </row>
    <row r="70" spans="1:83" x14ac:dyDescent="0.4">
      <c r="A70" t="s">
        <v>1017</v>
      </c>
      <c r="B70" t="s">
        <v>59</v>
      </c>
      <c r="C70" t="s">
        <v>73</v>
      </c>
      <c r="D70" t="s">
        <v>82</v>
      </c>
      <c r="E70" t="s">
        <v>59</v>
      </c>
      <c r="F70" t="s">
        <v>22</v>
      </c>
      <c r="G70">
        <v>70</v>
      </c>
      <c r="H70">
        <v>59</v>
      </c>
      <c r="I70">
        <v>61.5</v>
      </c>
      <c r="J70">
        <f t="shared" si="26"/>
        <v>8.5</v>
      </c>
      <c r="K70">
        <f t="shared" si="27"/>
        <v>-2.5</v>
      </c>
      <c r="L70">
        <v>11</v>
      </c>
      <c r="M70">
        <v>61.58</v>
      </c>
      <c r="N70" t="s">
        <v>336</v>
      </c>
      <c r="O70" t="s">
        <v>337</v>
      </c>
      <c r="P70" t="s">
        <v>13</v>
      </c>
      <c r="Q70">
        <v>0.5</v>
      </c>
      <c r="R70" t="s">
        <v>13</v>
      </c>
      <c r="S70" t="s">
        <v>15</v>
      </c>
      <c r="T70" t="s">
        <v>14</v>
      </c>
      <c r="U70">
        <v>7.5</v>
      </c>
      <c r="V70" t="s">
        <v>14</v>
      </c>
      <c r="W70">
        <f t="shared" si="28"/>
        <v>1</v>
      </c>
      <c r="X70" t="s">
        <v>14</v>
      </c>
      <c r="Y70" t="s">
        <v>14</v>
      </c>
      <c r="Z70">
        <v>10</v>
      </c>
      <c r="AA70">
        <f t="shared" si="22"/>
        <v>6877.1331058020478</v>
      </c>
      <c r="AB70">
        <f t="shared" si="23"/>
        <v>94.539249146757669</v>
      </c>
      <c r="AC70">
        <f t="shared" si="24"/>
        <v>47.098976109215016</v>
      </c>
      <c r="AD70" t="s">
        <v>15</v>
      </c>
      <c r="AE70" t="s">
        <v>15</v>
      </c>
      <c r="AF70" t="s">
        <v>18</v>
      </c>
      <c r="AG70" t="s">
        <v>14</v>
      </c>
      <c r="AH70" t="s">
        <v>14</v>
      </c>
      <c r="AI70" t="s">
        <v>41</v>
      </c>
      <c r="AJ70" t="s">
        <v>14</v>
      </c>
      <c r="AK70" t="s">
        <v>14</v>
      </c>
      <c r="AL70" t="s">
        <v>14</v>
      </c>
      <c r="AM70">
        <f t="shared" si="25"/>
        <v>49.819494584837543</v>
      </c>
      <c r="AN70">
        <f t="shared" si="29"/>
        <v>7138.26714801444</v>
      </c>
      <c r="AO70">
        <f t="shared" si="30"/>
        <v>4479.7833935018052</v>
      </c>
      <c r="AP70">
        <f t="shared" si="31"/>
        <v>1304.332129963899</v>
      </c>
      <c r="AQ70">
        <f t="shared" si="32"/>
        <v>1106.1371841155235</v>
      </c>
      <c r="AR70">
        <f t="shared" si="33"/>
        <v>1354.1516245487364</v>
      </c>
      <c r="AS70">
        <f t="shared" si="34"/>
        <v>1.7064846416382251</v>
      </c>
      <c r="AT70">
        <f t="shared" si="35"/>
        <v>47.44027303754266</v>
      </c>
      <c r="AU70">
        <f t="shared" si="36"/>
        <v>11.363981186466393</v>
      </c>
      <c r="AV70">
        <f t="shared" si="37"/>
        <v>15.495878217771709</v>
      </c>
      <c r="AW70">
        <f t="shared" si="38"/>
        <v>18.272391645172711</v>
      </c>
      <c r="AX70">
        <f t="shared" si="39"/>
        <v>18.970313053153291</v>
      </c>
      <c r="AY70">
        <f t="shared" si="40"/>
        <v>2237.4999999999982</v>
      </c>
      <c r="AZ70">
        <f t="shared" si="41"/>
        <v>811.19133574007219</v>
      </c>
      <c r="BA70">
        <f t="shared" si="42"/>
        <v>50.180505415162457</v>
      </c>
      <c r="BB70" t="s">
        <v>16</v>
      </c>
      <c r="BC70" t="s">
        <v>16</v>
      </c>
      <c r="BD70">
        <v>2.93</v>
      </c>
      <c r="BE70">
        <v>2.77</v>
      </c>
      <c r="BF70">
        <v>1.38</v>
      </c>
      <c r="BG70">
        <v>1.39</v>
      </c>
      <c r="BH70">
        <v>0.05</v>
      </c>
      <c r="BI70">
        <v>20150</v>
      </c>
      <c r="BJ70">
        <v>12409</v>
      </c>
      <c r="BK70">
        <v>3064</v>
      </c>
      <c r="BL70">
        <v>423</v>
      </c>
      <c r="BM70">
        <v>776</v>
      </c>
      <c r="BN70">
        <v>2247</v>
      </c>
      <c r="BO70">
        <v>167</v>
      </c>
      <c r="BP70">
        <v>584</v>
      </c>
      <c r="BQ70">
        <v>103</v>
      </c>
      <c r="BR70">
        <v>358</v>
      </c>
      <c r="BS70" t="s">
        <v>21</v>
      </c>
      <c r="BT70" t="s">
        <v>260</v>
      </c>
      <c r="BU70">
        <v>0</v>
      </c>
      <c r="BV70">
        <v>0</v>
      </c>
      <c r="BW70">
        <v>5.8</v>
      </c>
      <c r="BX70">
        <v>5.5</v>
      </c>
      <c r="BY70">
        <v>3.3</v>
      </c>
      <c r="BZ70">
        <v>3.7</v>
      </c>
      <c r="CA70">
        <v>1</v>
      </c>
      <c r="CB70">
        <v>1</v>
      </c>
      <c r="CC70">
        <v>0</v>
      </c>
      <c r="CD70">
        <f t="shared" si="43"/>
        <v>0.10810810810810823</v>
      </c>
      <c r="CE70">
        <v>1</v>
      </c>
    </row>
    <row r="71" spans="1:83" x14ac:dyDescent="0.4">
      <c r="A71" t="s">
        <v>1018</v>
      </c>
      <c r="B71" t="s">
        <v>49</v>
      </c>
      <c r="C71" t="s">
        <v>82</v>
      </c>
      <c r="D71" t="s">
        <v>82</v>
      </c>
      <c r="E71" t="s">
        <v>59</v>
      </c>
      <c r="F71" t="s">
        <v>12</v>
      </c>
      <c r="G71">
        <v>90</v>
      </c>
      <c r="H71">
        <v>90</v>
      </c>
      <c r="I71">
        <v>48</v>
      </c>
      <c r="J71">
        <f t="shared" si="26"/>
        <v>42</v>
      </c>
      <c r="K71">
        <f t="shared" si="27"/>
        <v>42</v>
      </c>
      <c r="L71">
        <v>0</v>
      </c>
      <c r="M71">
        <v>48.12</v>
      </c>
      <c r="N71" t="s">
        <v>339</v>
      </c>
      <c r="O71" t="s">
        <v>340</v>
      </c>
      <c r="P71" t="s">
        <v>13</v>
      </c>
      <c r="Q71">
        <v>0.2</v>
      </c>
      <c r="R71" t="s">
        <v>13</v>
      </c>
      <c r="S71" t="s">
        <v>15</v>
      </c>
      <c r="T71" t="s">
        <v>14</v>
      </c>
      <c r="U71">
        <v>0</v>
      </c>
      <c r="V71" t="s">
        <v>14</v>
      </c>
      <c r="W71">
        <f t="shared" si="28"/>
        <v>1</v>
      </c>
      <c r="X71" t="s">
        <v>14</v>
      </c>
      <c r="Y71" t="s">
        <v>14</v>
      </c>
      <c r="Z71">
        <v>0</v>
      </c>
      <c r="AA71">
        <f t="shared" si="22"/>
        <v>5107.7435178696569</v>
      </c>
      <c r="AB71">
        <f t="shared" si="23"/>
        <v>33.67203924316749</v>
      </c>
      <c r="AC71">
        <f t="shared" si="24"/>
        <v>29.06096706377015</v>
      </c>
      <c r="AD71" t="s">
        <v>15</v>
      </c>
      <c r="AE71" t="s">
        <v>15</v>
      </c>
      <c r="AF71" t="s">
        <v>18</v>
      </c>
      <c r="AG71" t="s">
        <v>14</v>
      </c>
      <c r="AH71" t="s">
        <v>17</v>
      </c>
      <c r="AI71" t="s">
        <v>18</v>
      </c>
      <c r="AJ71" t="s">
        <v>14</v>
      </c>
      <c r="AK71" t="s">
        <v>14</v>
      </c>
      <c r="AL71" t="s">
        <v>14</v>
      </c>
      <c r="AM71">
        <f t="shared" si="25"/>
        <v>86.305931321540072</v>
      </c>
      <c r="AN71">
        <f t="shared" si="29"/>
        <v>8340.5411030176911</v>
      </c>
      <c r="AO71">
        <f t="shared" si="30"/>
        <v>7299.7710718002081</v>
      </c>
      <c r="AP71">
        <f t="shared" si="31"/>
        <v>582.20603537981276</v>
      </c>
      <c r="AQ71">
        <f t="shared" si="32"/>
        <v>264.47450572320503</v>
      </c>
      <c r="AR71">
        <f t="shared" si="33"/>
        <v>458.5639958376691</v>
      </c>
      <c r="AS71">
        <f t="shared" si="34"/>
        <v>0.20322354590049052</v>
      </c>
      <c r="AT71">
        <f t="shared" si="35"/>
        <v>4.611072179397337</v>
      </c>
      <c r="AU71">
        <f t="shared" si="36"/>
        <v>5.2791799642182538</v>
      </c>
      <c r="AV71">
        <f t="shared" si="37"/>
        <v>3.1709514101850718</v>
      </c>
      <c r="AW71">
        <f t="shared" si="38"/>
        <v>6.9804348205797444</v>
      </c>
      <c r="AX71">
        <f t="shared" si="39"/>
        <v>5.4980125410778937</v>
      </c>
      <c r="AY71">
        <f t="shared" si="40"/>
        <v>3464.1415742208137</v>
      </c>
      <c r="AZ71">
        <f t="shared" si="41"/>
        <v>440.31217481789804</v>
      </c>
      <c r="BA71">
        <f t="shared" si="42"/>
        <v>13.694068678459939</v>
      </c>
      <c r="BB71" t="s">
        <v>16</v>
      </c>
      <c r="BC71" t="s">
        <v>16</v>
      </c>
      <c r="BD71">
        <v>142.69999999999999</v>
      </c>
      <c r="BE71">
        <v>48.05</v>
      </c>
      <c r="BF71">
        <v>41.47</v>
      </c>
      <c r="BG71">
        <v>6.58</v>
      </c>
      <c r="BH71">
        <v>0.28999999999999998</v>
      </c>
      <c r="BI71">
        <v>728875</v>
      </c>
      <c r="BJ71">
        <v>350754</v>
      </c>
      <c r="BK71">
        <v>12708</v>
      </c>
      <c r="BL71">
        <v>5241</v>
      </c>
      <c r="BM71">
        <v>1075</v>
      </c>
      <c r="BN71">
        <v>21157</v>
      </c>
      <c r="BO71">
        <v>502</v>
      </c>
      <c r="BP71">
        <v>7624</v>
      </c>
      <c r="BQ71">
        <v>1702</v>
      </c>
      <c r="BR71">
        <v>327881</v>
      </c>
      <c r="BS71" t="s">
        <v>21</v>
      </c>
      <c r="BT71" t="s">
        <v>338</v>
      </c>
      <c r="BU71">
        <v>0</v>
      </c>
      <c r="BV71">
        <v>0</v>
      </c>
      <c r="BW71">
        <v>0</v>
      </c>
      <c r="BX71">
        <v>0.1</v>
      </c>
      <c r="BY71">
        <v>161.1</v>
      </c>
      <c r="BZ71">
        <v>161.6</v>
      </c>
      <c r="CA71">
        <v>1</v>
      </c>
      <c r="CB71">
        <v>1</v>
      </c>
      <c r="CC71">
        <v>0</v>
      </c>
      <c r="CD71">
        <f t="shared" si="43"/>
        <v>3.0940594059405413E-3</v>
      </c>
      <c r="CE71">
        <v>1</v>
      </c>
    </row>
    <row r="72" spans="1:83" x14ac:dyDescent="0.4">
      <c r="A72" t="s">
        <v>1019</v>
      </c>
      <c r="B72" t="s">
        <v>59</v>
      </c>
      <c r="C72" t="s">
        <v>73</v>
      </c>
      <c r="D72" t="s">
        <v>82</v>
      </c>
      <c r="E72" t="s">
        <v>59</v>
      </c>
      <c r="F72" t="s">
        <v>22</v>
      </c>
      <c r="G72">
        <v>50</v>
      </c>
      <c r="H72">
        <v>90</v>
      </c>
      <c r="I72">
        <v>57.5</v>
      </c>
      <c r="J72">
        <f t="shared" si="26"/>
        <v>-7.5</v>
      </c>
      <c r="K72">
        <f t="shared" si="27"/>
        <v>32.5</v>
      </c>
      <c r="L72">
        <v>-40</v>
      </c>
      <c r="M72">
        <v>57.66</v>
      </c>
      <c r="N72" t="s">
        <v>342</v>
      </c>
      <c r="O72" t="s">
        <v>343</v>
      </c>
      <c r="P72" t="s">
        <v>13</v>
      </c>
      <c r="Q72">
        <v>0.3</v>
      </c>
      <c r="R72" t="s">
        <v>13</v>
      </c>
      <c r="S72" t="s">
        <v>15</v>
      </c>
      <c r="T72" t="s">
        <v>14</v>
      </c>
      <c r="U72">
        <v>7.5</v>
      </c>
      <c r="V72" t="s">
        <v>14</v>
      </c>
      <c r="W72">
        <f t="shared" si="28"/>
        <v>1</v>
      </c>
      <c r="X72" t="s">
        <v>14</v>
      </c>
      <c r="Y72" t="s">
        <v>17</v>
      </c>
      <c r="Z72">
        <v>0</v>
      </c>
      <c r="AA72">
        <f t="shared" si="22"/>
        <v>3191.4030261348007</v>
      </c>
      <c r="AB72">
        <f t="shared" si="23"/>
        <v>88.101788170563964</v>
      </c>
      <c r="AC72">
        <f t="shared" si="24"/>
        <v>28.129298486932601</v>
      </c>
      <c r="AD72" t="s">
        <v>15</v>
      </c>
      <c r="AE72" t="s">
        <v>15</v>
      </c>
      <c r="AF72" t="s">
        <v>24</v>
      </c>
      <c r="AG72" t="s">
        <v>14</v>
      </c>
      <c r="AH72" t="s">
        <v>14</v>
      </c>
      <c r="AI72" t="s">
        <v>18</v>
      </c>
      <c r="AJ72" t="s">
        <v>14</v>
      </c>
      <c r="AK72" t="s">
        <v>14</v>
      </c>
      <c r="AL72" t="s">
        <v>14</v>
      </c>
      <c r="AM72">
        <f t="shared" si="25"/>
        <v>31.928181108508976</v>
      </c>
      <c r="AN72">
        <f t="shared" si="29"/>
        <v>3321.935987509758</v>
      </c>
      <c r="AO72">
        <f t="shared" si="30"/>
        <v>2088.6026541764245</v>
      </c>
      <c r="AP72">
        <f t="shared" si="31"/>
        <v>182.27946916471507</v>
      </c>
      <c r="AQ72">
        <f t="shared" si="32"/>
        <v>925.52693208430912</v>
      </c>
      <c r="AR72">
        <f t="shared" si="33"/>
        <v>1051.0538641686182</v>
      </c>
      <c r="AS72">
        <f t="shared" si="34"/>
        <v>1.71939477303989</v>
      </c>
      <c r="AT72">
        <f t="shared" si="35"/>
        <v>59.972489683631373</v>
      </c>
      <c r="AU72">
        <f t="shared" si="36"/>
        <v>3.8092776237251491</v>
      </c>
      <c r="AV72">
        <f t="shared" si="37"/>
        <v>27.861070639657846</v>
      </c>
      <c r="AW72">
        <f t="shared" si="38"/>
        <v>5.48714574423086</v>
      </c>
      <c r="AX72">
        <f t="shared" si="39"/>
        <v>31.639798843821968</v>
      </c>
      <c r="AY72">
        <f t="shared" si="40"/>
        <v>2216.1849710982679</v>
      </c>
      <c r="AZ72">
        <f t="shared" si="41"/>
        <v>126.54176424668228</v>
      </c>
      <c r="BA72">
        <f t="shared" si="42"/>
        <v>68.071818891491034</v>
      </c>
      <c r="BB72" t="s">
        <v>23</v>
      </c>
      <c r="BC72" t="s">
        <v>23</v>
      </c>
      <c r="BD72">
        <v>14.54</v>
      </c>
      <c r="BE72">
        <v>12.81</v>
      </c>
      <c r="BF72">
        <v>4.09</v>
      </c>
      <c r="BG72">
        <v>8.7200000000000006</v>
      </c>
      <c r="BH72">
        <v>0.25</v>
      </c>
      <c r="BI72">
        <v>46403</v>
      </c>
      <c r="BJ72">
        <v>26755</v>
      </c>
      <c r="BK72">
        <v>11856</v>
      </c>
      <c r="BL72">
        <v>374</v>
      </c>
      <c r="BM72">
        <v>104</v>
      </c>
      <c r="BN72">
        <v>1621</v>
      </c>
      <c r="BO72">
        <v>236</v>
      </c>
      <c r="BP72">
        <v>1186</v>
      </c>
      <c r="BQ72">
        <v>422</v>
      </c>
      <c r="BR72">
        <v>3834</v>
      </c>
      <c r="BS72" t="s">
        <v>21</v>
      </c>
      <c r="BT72" t="s">
        <v>341</v>
      </c>
      <c r="BU72">
        <v>0</v>
      </c>
      <c r="BV72">
        <v>0.1</v>
      </c>
      <c r="BW72">
        <v>27.2</v>
      </c>
      <c r="BX72">
        <v>0.5</v>
      </c>
      <c r="BY72">
        <v>17.399999999999999</v>
      </c>
      <c r="BZ72">
        <v>24.2</v>
      </c>
      <c r="CA72">
        <v>10</v>
      </c>
      <c r="CB72">
        <v>10</v>
      </c>
      <c r="CC72">
        <v>0</v>
      </c>
      <c r="CD72">
        <f t="shared" si="43"/>
        <v>0.28099173553719015</v>
      </c>
      <c r="CE72">
        <v>1</v>
      </c>
    </row>
    <row r="73" spans="1:83" x14ac:dyDescent="0.4">
      <c r="A73" t="s">
        <v>1020</v>
      </c>
      <c r="B73" t="s">
        <v>59</v>
      </c>
      <c r="C73" t="s">
        <v>73</v>
      </c>
      <c r="D73" t="s">
        <v>82</v>
      </c>
      <c r="E73" t="s">
        <v>59</v>
      </c>
      <c r="F73" t="s">
        <v>22</v>
      </c>
      <c r="G73">
        <v>30</v>
      </c>
      <c r="H73">
        <v>26</v>
      </c>
      <c r="I73">
        <v>31.5</v>
      </c>
      <c r="J73">
        <f t="shared" si="26"/>
        <v>-1.5</v>
      </c>
      <c r="K73">
        <f t="shared" si="27"/>
        <v>-5.5</v>
      </c>
      <c r="L73">
        <v>4</v>
      </c>
      <c r="M73">
        <v>31.74</v>
      </c>
      <c r="N73" t="s">
        <v>344</v>
      </c>
      <c r="O73" t="s">
        <v>345</v>
      </c>
      <c r="P73" t="s">
        <v>13</v>
      </c>
      <c r="Q73">
        <v>0</v>
      </c>
      <c r="R73" t="s">
        <v>13</v>
      </c>
      <c r="S73" t="s">
        <v>15</v>
      </c>
      <c r="T73" t="s">
        <v>14</v>
      </c>
      <c r="U73">
        <v>0</v>
      </c>
      <c r="V73" t="s">
        <v>14</v>
      </c>
      <c r="W73">
        <f t="shared" si="28"/>
        <v>0.5</v>
      </c>
      <c r="X73" t="s">
        <v>17</v>
      </c>
      <c r="Y73" t="s">
        <v>14</v>
      </c>
      <c r="Z73">
        <v>0</v>
      </c>
      <c r="AA73">
        <f t="shared" si="22"/>
        <v>3299.7149372862032</v>
      </c>
      <c r="AB73">
        <f t="shared" si="23"/>
        <v>76.396807297605477</v>
      </c>
      <c r="AC73">
        <f t="shared" si="24"/>
        <v>23.945267958950971</v>
      </c>
      <c r="AD73" t="s">
        <v>15</v>
      </c>
      <c r="AE73" t="s">
        <v>15</v>
      </c>
      <c r="AF73" t="s">
        <v>24</v>
      </c>
      <c r="AG73" t="s">
        <v>14</v>
      </c>
      <c r="AH73" t="s">
        <v>14</v>
      </c>
      <c r="AI73" t="s">
        <v>14</v>
      </c>
      <c r="AJ73" t="s">
        <v>14</v>
      </c>
      <c r="AK73" t="s">
        <v>14</v>
      </c>
      <c r="AL73" t="s">
        <v>14</v>
      </c>
      <c r="AM73">
        <f t="shared" si="25"/>
        <v>31.343283582089551</v>
      </c>
      <c r="AN73">
        <f t="shared" si="29"/>
        <v>3572.2388059701493</v>
      </c>
      <c r="AO73">
        <f t="shared" si="30"/>
        <v>1371.1194029850747</v>
      </c>
      <c r="AP73">
        <f t="shared" si="31"/>
        <v>386.26865671641792</v>
      </c>
      <c r="AQ73">
        <f t="shared" si="32"/>
        <v>1689.9253731343283</v>
      </c>
      <c r="AR73">
        <f t="shared" si="33"/>
        <v>1814.8507462686566</v>
      </c>
      <c r="AS73">
        <f t="shared" si="34"/>
        <v>0.34207525655644244</v>
      </c>
      <c r="AT73">
        <f t="shared" si="35"/>
        <v>52.394526795895096</v>
      </c>
      <c r="AU73">
        <f t="shared" si="36"/>
        <v>8.7699506977521526</v>
      </c>
      <c r="AV73">
        <f t="shared" si="37"/>
        <v>47.30717807303418</v>
      </c>
      <c r="AW73">
        <f t="shared" si="38"/>
        <v>10.813069273836383</v>
      </c>
      <c r="AX73">
        <f t="shared" si="39"/>
        <v>50.804295144982035</v>
      </c>
      <c r="AY73">
        <f t="shared" si="40"/>
        <v>2414.2512077294691</v>
      </c>
      <c r="AZ73">
        <f t="shared" si="41"/>
        <v>313.28358208955223</v>
      </c>
      <c r="BA73">
        <f t="shared" si="42"/>
        <v>68.582089552238799</v>
      </c>
      <c r="BB73" t="s">
        <v>40</v>
      </c>
      <c r="BC73" t="s">
        <v>30</v>
      </c>
      <c r="BD73">
        <v>17.54</v>
      </c>
      <c r="BE73">
        <v>13.4</v>
      </c>
      <c r="BF73">
        <v>4.2</v>
      </c>
      <c r="BG73">
        <v>9.19</v>
      </c>
      <c r="BH73">
        <v>0.06</v>
      </c>
      <c r="BI73">
        <v>57877</v>
      </c>
      <c r="BJ73">
        <v>18373</v>
      </c>
      <c r="BK73">
        <v>22645</v>
      </c>
      <c r="BL73">
        <v>522</v>
      </c>
      <c r="BM73">
        <v>89</v>
      </c>
      <c r="BN73">
        <v>4198</v>
      </c>
      <c r="BO73">
        <v>367</v>
      </c>
      <c r="BP73">
        <v>861</v>
      </c>
      <c r="BQ73">
        <v>813</v>
      </c>
      <c r="BR73">
        <v>9995</v>
      </c>
      <c r="BS73" t="s">
        <v>21</v>
      </c>
      <c r="BT73" t="s">
        <v>179</v>
      </c>
      <c r="BU73">
        <v>0</v>
      </c>
      <c r="BV73">
        <v>0</v>
      </c>
      <c r="BW73">
        <v>8.6</v>
      </c>
      <c r="BX73">
        <v>0</v>
      </c>
      <c r="BY73">
        <v>17.399999999999999</v>
      </c>
      <c r="BZ73">
        <v>19.100000000000001</v>
      </c>
      <c r="CA73">
        <v>6</v>
      </c>
      <c r="CB73">
        <v>3</v>
      </c>
      <c r="CC73">
        <v>0</v>
      </c>
      <c r="CD73">
        <f t="shared" si="43"/>
        <v>8.900523560209439E-2</v>
      </c>
      <c r="CE73">
        <v>0.5</v>
      </c>
    </row>
    <row r="74" spans="1:83" x14ac:dyDescent="0.4">
      <c r="A74" t="s">
        <v>1021</v>
      </c>
      <c r="B74" t="s">
        <v>19</v>
      </c>
      <c r="C74" t="s">
        <v>19</v>
      </c>
      <c r="D74" t="s">
        <v>19</v>
      </c>
      <c r="E74" t="s">
        <v>59</v>
      </c>
      <c r="F74" t="s">
        <v>22</v>
      </c>
      <c r="G74">
        <v>40</v>
      </c>
      <c r="H74">
        <v>53</v>
      </c>
      <c r="I74">
        <v>60.5</v>
      </c>
      <c r="J74">
        <f t="shared" si="26"/>
        <v>-20.5</v>
      </c>
      <c r="K74">
        <f t="shared" si="27"/>
        <v>-7.5</v>
      </c>
      <c r="L74">
        <v>-13</v>
      </c>
      <c r="M74">
        <v>60.47</v>
      </c>
      <c r="N74" t="s">
        <v>346</v>
      </c>
      <c r="O74" t="s">
        <v>347</v>
      </c>
      <c r="P74" t="s">
        <v>13</v>
      </c>
      <c r="Q74">
        <v>0.2</v>
      </c>
      <c r="R74" t="s">
        <v>13</v>
      </c>
      <c r="S74" t="s">
        <v>15</v>
      </c>
      <c r="T74" t="s">
        <v>14</v>
      </c>
      <c r="U74">
        <v>15</v>
      </c>
      <c r="V74" t="s">
        <v>17</v>
      </c>
      <c r="W74">
        <f t="shared" si="28"/>
        <v>0.8</v>
      </c>
      <c r="X74" t="s">
        <v>14</v>
      </c>
      <c r="Y74" t="s">
        <v>14</v>
      </c>
      <c r="Z74">
        <v>0</v>
      </c>
      <c r="AA74">
        <f t="shared" si="22"/>
        <v>3516.5048543689318</v>
      </c>
      <c r="AB74">
        <f t="shared" si="23"/>
        <v>63.349514563106794</v>
      </c>
      <c r="AC74">
        <f t="shared" si="24"/>
        <v>40.837378640776699</v>
      </c>
      <c r="AD74" t="s">
        <v>15</v>
      </c>
      <c r="AE74" t="s">
        <v>15</v>
      </c>
      <c r="AF74" t="s">
        <v>18</v>
      </c>
      <c r="AG74" t="s">
        <v>14</v>
      </c>
      <c r="AH74" t="s">
        <v>14</v>
      </c>
      <c r="AI74" t="s">
        <v>18</v>
      </c>
      <c r="AJ74" t="s">
        <v>14</v>
      </c>
      <c r="AK74" t="s">
        <v>14</v>
      </c>
      <c r="AL74" t="s">
        <v>14</v>
      </c>
      <c r="AM74">
        <f t="shared" si="25"/>
        <v>64.463601532567054</v>
      </c>
      <c r="AN74">
        <f t="shared" si="29"/>
        <v>4293.007662835249</v>
      </c>
      <c r="AO74">
        <f t="shared" si="30"/>
        <v>3356.6091954022991</v>
      </c>
      <c r="AP74">
        <f t="shared" si="31"/>
        <v>285.15325670498083</v>
      </c>
      <c r="AQ74">
        <f t="shared" si="32"/>
        <v>275.47892720306515</v>
      </c>
      <c r="AR74">
        <f t="shared" si="33"/>
        <v>651.24521072796938</v>
      </c>
      <c r="AS74">
        <f t="shared" si="34"/>
        <v>6.0679611650485438E-2</v>
      </c>
      <c r="AT74">
        <f t="shared" si="35"/>
        <v>22.572815533980581</v>
      </c>
      <c r="AU74">
        <f t="shared" si="36"/>
        <v>4.9599500211963674</v>
      </c>
      <c r="AV74">
        <f t="shared" si="37"/>
        <v>6.4169213949441088</v>
      </c>
      <c r="AW74">
        <f t="shared" si="38"/>
        <v>6.6422722506080012</v>
      </c>
      <c r="AX74">
        <f t="shared" si="39"/>
        <v>15.169905620384212</v>
      </c>
      <c r="AY74">
        <f t="shared" si="40"/>
        <v>2173.344370860927</v>
      </c>
      <c r="AZ74">
        <f t="shared" si="41"/>
        <v>212.93103448275863</v>
      </c>
      <c r="BA74">
        <f t="shared" si="42"/>
        <v>35.632183908045981</v>
      </c>
      <c r="BB74" t="s">
        <v>29</v>
      </c>
      <c r="BC74" t="s">
        <v>28</v>
      </c>
      <c r="BD74">
        <v>16.48</v>
      </c>
      <c r="BE74">
        <v>10.44</v>
      </c>
      <c r="BF74">
        <v>6.73</v>
      </c>
      <c r="BG74">
        <v>3.72</v>
      </c>
      <c r="BH74">
        <v>0.01</v>
      </c>
      <c r="BI74">
        <v>57952</v>
      </c>
      <c r="BJ74">
        <v>35043</v>
      </c>
      <c r="BK74">
        <v>2876</v>
      </c>
      <c r="BL74">
        <v>585</v>
      </c>
      <c r="BM74">
        <v>93</v>
      </c>
      <c r="BN74">
        <v>2223</v>
      </c>
      <c r="BO74">
        <v>76</v>
      </c>
      <c r="BP74">
        <v>3366</v>
      </c>
      <c r="BQ74">
        <v>557</v>
      </c>
      <c r="BR74">
        <v>13127</v>
      </c>
      <c r="BS74" t="s">
        <v>21</v>
      </c>
      <c r="BT74" t="s">
        <v>263</v>
      </c>
      <c r="BU74">
        <v>0</v>
      </c>
      <c r="BV74">
        <v>0</v>
      </c>
      <c r="BW74">
        <v>0</v>
      </c>
      <c r="BX74">
        <v>0</v>
      </c>
      <c r="BY74">
        <v>17.899999999999999</v>
      </c>
      <c r="BZ74">
        <v>17.899999999999999</v>
      </c>
      <c r="CA74">
        <v>5</v>
      </c>
      <c r="CB74">
        <v>4</v>
      </c>
      <c r="CC74">
        <v>0</v>
      </c>
      <c r="CD74">
        <f t="shared" si="43"/>
        <v>0</v>
      </c>
      <c r="CE74">
        <v>0.8</v>
      </c>
    </row>
    <row r="75" spans="1:83" x14ac:dyDescent="0.4">
      <c r="A75" t="s">
        <v>1022</v>
      </c>
      <c r="B75" t="s">
        <v>59</v>
      </c>
      <c r="C75" t="s">
        <v>73</v>
      </c>
      <c r="D75" t="s">
        <v>82</v>
      </c>
      <c r="E75" t="s">
        <v>59</v>
      </c>
      <c r="F75" t="s">
        <v>12</v>
      </c>
      <c r="G75">
        <v>70</v>
      </c>
      <c r="H75">
        <v>30</v>
      </c>
      <c r="I75">
        <v>10.5</v>
      </c>
      <c r="J75">
        <f t="shared" si="26"/>
        <v>59.5</v>
      </c>
      <c r="K75">
        <f t="shared" si="27"/>
        <v>19.5</v>
      </c>
      <c r="L75">
        <v>40</v>
      </c>
      <c r="M75">
        <v>10.72</v>
      </c>
      <c r="N75" t="s">
        <v>349</v>
      </c>
      <c r="O75" t="s">
        <v>350</v>
      </c>
      <c r="P75" t="s">
        <v>13</v>
      </c>
      <c r="Q75">
        <v>1.7</v>
      </c>
      <c r="R75" t="s">
        <v>13</v>
      </c>
      <c r="S75" t="s">
        <v>15</v>
      </c>
      <c r="T75" t="s">
        <v>14</v>
      </c>
      <c r="U75">
        <v>2.5</v>
      </c>
      <c r="V75" t="s">
        <v>14</v>
      </c>
      <c r="W75">
        <f t="shared" si="28"/>
        <v>1</v>
      </c>
      <c r="X75" t="s">
        <v>17</v>
      </c>
      <c r="Y75" t="s">
        <v>14</v>
      </c>
      <c r="Z75">
        <v>0</v>
      </c>
      <c r="AA75">
        <f t="shared" si="22"/>
        <v>3352.3266401495184</v>
      </c>
      <c r="AB75">
        <f t="shared" si="23"/>
        <v>15.081228734365267</v>
      </c>
      <c r="AC75">
        <f t="shared" si="24"/>
        <v>8.4199932908419992</v>
      </c>
      <c r="AD75" t="s">
        <v>15</v>
      </c>
      <c r="AE75" t="s">
        <v>15</v>
      </c>
      <c r="AF75" t="s">
        <v>24</v>
      </c>
      <c r="AG75" t="s">
        <v>14</v>
      </c>
      <c r="AH75" t="s">
        <v>14</v>
      </c>
      <c r="AI75" t="s">
        <v>14</v>
      </c>
      <c r="AJ75" t="s">
        <v>14</v>
      </c>
      <c r="AK75" t="s">
        <v>14</v>
      </c>
      <c r="AL75" t="s">
        <v>14</v>
      </c>
      <c r="AM75">
        <f t="shared" si="25"/>
        <v>55.830950111217035</v>
      </c>
      <c r="AN75">
        <f t="shared" si="29"/>
        <v>3992.3101366380683</v>
      </c>
      <c r="AO75">
        <f t="shared" si="30"/>
        <v>2382.777248172863</v>
      </c>
      <c r="AP75">
        <f t="shared" si="31"/>
        <v>219.38353987925009</v>
      </c>
      <c r="AQ75">
        <f t="shared" si="32"/>
        <v>1097.9345408325389</v>
      </c>
      <c r="AR75">
        <f t="shared" si="33"/>
        <v>1390.1493485859548</v>
      </c>
      <c r="AS75">
        <f t="shared" si="34"/>
        <v>0.22044376287918724</v>
      </c>
      <c r="AT75">
        <f t="shared" si="35"/>
        <v>6.6564431878085015</v>
      </c>
      <c r="AU75">
        <f t="shared" si="36"/>
        <v>4.4317801938903836</v>
      </c>
      <c r="AV75">
        <f t="shared" si="37"/>
        <v>27.501233703178976</v>
      </c>
      <c r="AW75">
        <f t="shared" si="38"/>
        <v>5.4951527404129328</v>
      </c>
      <c r="AX75">
        <f t="shared" si="39"/>
        <v>34.820675273404547</v>
      </c>
      <c r="AY75">
        <f t="shared" si="40"/>
        <v>3238.3352144469527</v>
      </c>
      <c r="AZ75">
        <f t="shared" si="41"/>
        <v>176.93040991420401</v>
      </c>
      <c r="BA75">
        <f t="shared" si="42"/>
        <v>44.137273593898954</v>
      </c>
      <c r="BB75" t="s">
        <v>31</v>
      </c>
      <c r="BC75" t="s">
        <v>31</v>
      </c>
      <c r="BD75">
        <v>208.67</v>
      </c>
      <c r="BE75">
        <v>31.47</v>
      </c>
      <c r="BF75">
        <v>17.57</v>
      </c>
      <c r="BG75">
        <v>13.89</v>
      </c>
      <c r="BH75">
        <v>0.46</v>
      </c>
      <c r="BI75">
        <v>699530</v>
      </c>
      <c r="BJ75">
        <v>74986</v>
      </c>
      <c r="BK75">
        <v>34552</v>
      </c>
      <c r="BL75">
        <v>794</v>
      </c>
      <c r="BM75">
        <v>201</v>
      </c>
      <c r="BN75">
        <v>5568</v>
      </c>
      <c r="BO75">
        <v>341</v>
      </c>
      <c r="BP75">
        <v>4319</v>
      </c>
      <c r="BQ75">
        <v>4877</v>
      </c>
      <c r="BR75">
        <v>573833</v>
      </c>
      <c r="BS75" t="s">
        <v>21</v>
      </c>
      <c r="BT75" t="s">
        <v>348</v>
      </c>
      <c r="BU75">
        <v>0.3</v>
      </c>
      <c r="BV75">
        <v>1.4</v>
      </c>
      <c r="BW75">
        <v>1.2</v>
      </c>
      <c r="BX75">
        <v>0.1</v>
      </c>
      <c r="BY75">
        <v>236.8</v>
      </c>
      <c r="BZ75">
        <v>248.3</v>
      </c>
      <c r="CA75">
        <v>2</v>
      </c>
      <c r="CB75">
        <v>2</v>
      </c>
      <c r="CC75">
        <v>0</v>
      </c>
      <c r="CD75">
        <f t="shared" si="43"/>
        <v>4.6314941602899729E-2</v>
      </c>
      <c r="CE75">
        <v>1</v>
      </c>
    </row>
    <row r="76" spans="1:83" x14ac:dyDescent="0.4">
      <c r="A76" t="s">
        <v>1023</v>
      </c>
      <c r="B76" t="s">
        <v>34</v>
      </c>
      <c r="C76" t="s">
        <v>34</v>
      </c>
      <c r="D76" t="s">
        <v>34</v>
      </c>
      <c r="E76" t="s">
        <v>59</v>
      </c>
      <c r="F76" t="s">
        <v>22</v>
      </c>
      <c r="G76">
        <v>80</v>
      </c>
      <c r="H76">
        <v>70</v>
      </c>
      <c r="I76">
        <v>88.5</v>
      </c>
      <c r="J76">
        <f t="shared" si="26"/>
        <v>-8.5</v>
      </c>
      <c r="K76">
        <f t="shared" si="27"/>
        <v>-18.5</v>
      </c>
      <c r="L76">
        <v>10</v>
      </c>
      <c r="M76">
        <v>88.51</v>
      </c>
      <c r="N76" t="s">
        <v>351</v>
      </c>
      <c r="O76" t="s">
        <v>352</v>
      </c>
      <c r="P76" t="s">
        <v>13</v>
      </c>
      <c r="Q76">
        <v>0</v>
      </c>
      <c r="R76" t="s">
        <v>13</v>
      </c>
      <c r="S76" t="s">
        <v>15</v>
      </c>
      <c r="T76" t="s">
        <v>14</v>
      </c>
      <c r="U76">
        <v>0</v>
      </c>
      <c r="V76" t="s">
        <v>14</v>
      </c>
      <c r="W76">
        <f t="shared" si="28"/>
        <v>1</v>
      </c>
      <c r="X76" t="s">
        <v>14</v>
      </c>
      <c r="Y76" t="s">
        <v>14</v>
      </c>
      <c r="Z76">
        <v>0</v>
      </c>
      <c r="AA76">
        <f t="shared" si="22"/>
        <v>5597.2049689440992</v>
      </c>
      <c r="AB76">
        <f t="shared" si="23"/>
        <v>94.099378881987576</v>
      </c>
      <c r="AC76">
        <f t="shared" si="24"/>
        <v>76.708074534161497</v>
      </c>
      <c r="AD76" t="s">
        <v>15</v>
      </c>
      <c r="AE76" t="s">
        <v>15</v>
      </c>
      <c r="AF76" t="s">
        <v>18</v>
      </c>
      <c r="AG76" t="s">
        <v>14</v>
      </c>
      <c r="AH76" t="s">
        <v>14</v>
      </c>
      <c r="AI76" t="s">
        <v>18</v>
      </c>
      <c r="AJ76" t="s">
        <v>14</v>
      </c>
      <c r="AK76" t="s">
        <v>14</v>
      </c>
      <c r="AL76" t="s">
        <v>14</v>
      </c>
      <c r="AM76">
        <f t="shared" si="25"/>
        <v>81.51815181518154</v>
      </c>
      <c r="AN76">
        <f t="shared" si="29"/>
        <v>5902.6402640264032</v>
      </c>
      <c r="AO76">
        <f t="shared" si="30"/>
        <v>5264.6864686468653</v>
      </c>
      <c r="AP76">
        <f t="shared" si="31"/>
        <v>313.86138613861391</v>
      </c>
      <c r="AQ76">
        <f t="shared" si="32"/>
        <v>210.56105610561056</v>
      </c>
      <c r="AR76">
        <f t="shared" si="33"/>
        <v>324.0924092409241</v>
      </c>
      <c r="AS76">
        <f t="shared" si="34"/>
        <v>3.1055900621118009</v>
      </c>
      <c r="AT76">
        <f t="shared" si="35"/>
        <v>17.39130434782609</v>
      </c>
      <c r="AU76">
        <f t="shared" si="36"/>
        <v>3.9474419904948279</v>
      </c>
      <c r="AV76">
        <f t="shared" si="37"/>
        <v>3.5672351132233717</v>
      </c>
      <c r="AW76">
        <f t="shared" si="38"/>
        <v>5.3173050041934582</v>
      </c>
      <c r="AX76">
        <f t="shared" si="39"/>
        <v>5.4906346100083869</v>
      </c>
      <c r="AY76">
        <f t="shared" si="40"/>
        <v>694.73684210526176</v>
      </c>
      <c r="AZ76">
        <f t="shared" si="41"/>
        <v>233.00330033003303</v>
      </c>
      <c r="BA76">
        <f t="shared" si="42"/>
        <v>18.481848184818485</v>
      </c>
      <c r="BB76" t="s">
        <v>16</v>
      </c>
      <c r="BC76" t="s">
        <v>16</v>
      </c>
      <c r="BD76">
        <v>3.22</v>
      </c>
      <c r="BE76">
        <v>3.03</v>
      </c>
      <c r="BF76">
        <v>2.4700000000000002</v>
      </c>
      <c r="BG76">
        <v>0.56000000000000005</v>
      </c>
      <c r="BH76">
        <v>0.1</v>
      </c>
      <c r="BI76">
        <v>18023</v>
      </c>
      <c r="BJ76">
        <v>15952</v>
      </c>
      <c r="BK76">
        <v>638</v>
      </c>
      <c r="BL76">
        <v>136</v>
      </c>
      <c r="BM76">
        <v>42</v>
      </c>
      <c r="BN76">
        <v>706</v>
      </c>
      <c r="BO76">
        <v>67</v>
      </c>
      <c r="BP76">
        <v>328</v>
      </c>
      <c r="BQ76">
        <v>16</v>
      </c>
      <c r="BR76">
        <v>132</v>
      </c>
      <c r="BS76" t="s">
        <v>21</v>
      </c>
      <c r="BT76" t="s">
        <v>151</v>
      </c>
      <c r="BU76">
        <v>0</v>
      </c>
      <c r="BV76">
        <v>0</v>
      </c>
      <c r="BW76">
        <v>0</v>
      </c>
      <c r="BX76">
        <v>0.1</v>
      </c>
      <c r="BY76">
        <v>3.3</v>
      </c>
      <c r="BZ76">
        <v>3.3</v>
      </c>
      <c r="CA76">
        <v>1</v>
      </c>
      <c r="CB76">
        <v>1</v>
      </c>
      <c r="CC76">
        <v>0</v>
      </c>
      <c r="CD76">
        <f t="shared" si="43"/>
        <v>0</v>
      </c>
      <c r="CE76">
        <v>1</v>
      </c>
    </row>
    <row r="77" spans="1:83" x14ac:dyDescent="0.4">
      <c r="A77" t="s">
        <v>1024</v>
      </c>
      <c r="B77" t="s">
        <v>59</v>
      </c>
      <c r="C77" t="s">
        <v>73</v>
      </c>
      <c r="D77" t="s">
        <v>82</v>
      </c>
      <c r="E77" t="s">
        <v>59</v>
      </c>
      <c r="F77" t="s">
        <v>12</v>
      </c>
      <c r="G77">
        <v>70</v>
      </c>
      <c r="H77">
        <v>16</v>
      </c>
      <c r="I77">
        <v>15</v>
      </c>
      <c r="J77">
        <f t="shared" si="26"/>
        <v>55</v>
      </c>
      <c r="K77">
        <f t="shared" si="27"/>
        <v>1</v>
      </c>
      <c r="L77">
        <v>54</v>
      </c>
      <c r="M77">
        <v>14.87</v>
      </c>
      <c r="N77" t="s">
        <v>354</v>
      </c>
      <c r="O77" t="s">
        <v>355</v>
      </c>
      <c r="P77" t="s">
        <v>13</v>
      </c>
      <c r="Q77">
        <v>0.2</v>
      </c>
      <c r="R77" t="s">
        <v>13</v>
      </c>
      <c r="S77" t="s">
        <v>35</v>
      </c>
      <c r="T77" t="s">
        <v>14</v>
      </c>
      <c r="U77">
        <v>0</v>
      </c>
      <c r="V77" t="s">
        <v>14</v>
      </c>
      <c r="W77">
        <f t="shared" si="28"/>
        <v>1</v>
      </c>
      <c r="X77" t="s">
        <v>17</v>
      </c>
      <c r="Y77" t="s">
        <v>14</v>
      </c>
      <c r="Z77">
        <v>0</v>
      </c>
      <c r="AA77">
        <f t="shared" si="22"/>
        <v>4173.6278417314243</v>
      </c>
      <c r="AB77">
        <f t="shared" si="23"/>
        <v>20.660862594909933</v>
      </c>
      <c r="AC77">
        <f t="shared" si="24"/>
        <v>9.1269399478969522</v>
      </c>
      <c r="AD77" t="s">
        <v>27</v>
      </c>
      <c r="AE77" t="s">
        <v>37</v>
      </c>
      <c r="AF77" t="s">
        <v>24</v>
      </c>
      <c r="AG77" t="s">
        <v>14</v>
      </c>
      <c r="AH77" t="s">
        <v>14</v>
      </c>
      <c r="AI77" t="s">
        <v>18</v>
      </c>
      <c r="AJ77" t="s">
        <v>14</v>
      </c>
      <c r="AK77" t="s">
        <v>14</v>
      </c>
      <c r="AL77" t="s">
        <v>17</v>
      </c>
      <c r="AM77">
        <f t="shared" si="25"/>
        <v>44.175018859790924</v>
      </c>
      <c r="AN77">
        <f t="shared" si="29"/>
        <v>5557.9588317706648</v>
      </c>
      <c r="AO77">
        <f t="shared" si="30"/>
        <v>3004.2245931673669</v>
      </c>
      <c r="AP77">
        <f t="shared" si="31"/>
        <v>1023.9249919172324</v>
      </c>
      <c r="AQ77">
        <f t="shared" si="32"/>
        <v>1131.4258001939863</v>
      </c>
      <c r="AR77">
        <f t="shared" si="33"/>
        <v>1529.8092466860653</v>
      </c>
      <c r="AS77">
        <f t="shared" si="34"/>
        <v>2.2488922535681679</v>
      </c>
      <c r="AT77">
        <f t="shared" si="35"/>
        <v>11.533922647012981</v>
      </c>
      <c r="AU77">
        <f t="shared" si="36"/>
        <v>11.58082924360558</v>
      </c>
      <c r="AV77">
        <f t="shared" si="37"/>
        <v>20.356858235913464</v>
      </c>
      <c r="AW77">
        <f t="shared" si="38"/>
        <v>18.422680392381181</v>
      </c>
      <c r="AX77">
        <f t="shared" si="39"/>
        <v>27.524659555614157</v>
      </c>
      <c r="AY77">
        <f t="shared" si="40"/>
        <v>3812.1042882801976</v>
      </c>
      <c r="AZ77">
        <f t="shared" si="41"/>
        <v>643.65772173725611</v>
      </c>
      <c r="BA77">
        <f t="shared" si="42"/>
        <v>55.824981140209069</v>
      </c>
      <c r="BB77" t="s">
        <v>16</v>
      </c>
      <c r="BC77" t="s">
        <v>16</v>
      </c>
      <c r="BD77">
        <v>449.11</v>
      </c>
      <c r="BE77">
        <v>92.79</v>
      </c>
      <c r="BF77">
        <v>40.99</v>
      </c>
      <c r="BG77">
        <v>51.8</v>
      </c>
      <c r="BH77">
        <v>10.1</v>
      </c>
      <c r="BI77">
        <v>1874418</v>
      </c>
      <c r="BJ77">
        <v>278762</v>
      </c>
      <c r="BK77">
        <v>104985</v>
      </c>
      <c r="BL77">
        <v>29897</v>
      </c>
      <c r="BM77">
        <v>3190</v>
      </c>
      <c r="BN77">
        <v>59725</v>
      </c>
      <c r="BO77">
        <v>2198</v>
      </c>
      <c r="BP77">
        <v>12437</v>
      </c>
      <c r="BQ77">
        <v>24529</v>
      </c>
      <c r="BR77">
        <v>1358329</v>
      </c>
      <c r="BS77" t="s">
        <v>21</v>
      </c>
      <c r="BT77" t="s">
        <v>353</v>
      </c>
      <c r="BU77">
        <v>0.1</v>
      </c>
      <c r="BV77">
        <v>1.1000000000000001</v>
      </c>
      <c r="BW77">
        <v>1</v>
      </c>
      <c r="BX77">
        <v>0</v>
      </c>
      <c r="BY77">
        <v>485.5</v>
      </c>
      <c r="BZ77">
        <v>497.9</v>
      </c>
      <c r="CA77">
        <v>1</v>
      </c>
      <c r="CB77">
        <v>1</v>
      </c>
      <c r="CC77">
        <v>0</v>
      </c>
      <c r="CD77">
        <f t="shared" si="43"/>
        <v>2.4904599317131959E-2</v>
      </c>
      <c r="CE77">
        <v>1</v>
      </c>
    </row>
    <row r="78" spans="1:83" x14ac:dyDescent="0.4">
      <c r="A78" t="s">
        <v>1025</v>
      </c>
      <c r="B78" t="s">
        <v>59</v>
      </c>
      <c r="C78" t="s">
        <v>73</v>
      </c>
      <c r="D78" t="s">
        <v>82</v>
      </c>
      <c r="E78" t="s">
        <v>59</v>
      </c>
      <c r="F78" t="s">
        <v>12</v>
      </c>
      <c r="G78">
        <v>70</v>
      </c>
      <c r="H78">
        <v>29</v>
      </c>
      <c r="I78">
        <v>12</v>
      </c>
      <c r="J78">
        <f t="shared" si="26"/>
        <v>58</v>
      </c>
      <c r="K78">
        <f t="shared" si="27"/>
        <v>17</v>
      </c>
      <c r="L78">
        <v>41</v>
      </c>
      <c r="M78">
        <v>12.19</v>
      </c>
      <c r="N78" t="s">
        <v>357</v>
      </c>
      <c r="O78" t="s">
        <v>358</v>
      </c>
      <c r="P78" t="s">
        <v>13</v>
      </c>
      <c r="Q78">
        <v>0.3</v>
      </c>
      <c r="R78" t="s">
        <v>13</v>
      </c>
      <c r="S78" t="s">
        <v>27</v>
      </c>
      <c r="T78" t="s">
        <v>14</v>
      </c>
      <c r="U78">
        <v>2.5</v>
      </c>
      <c r="V78" t="s">
        <v>14</v>
      </c>
      <c r="W78">
        <f t="shared" si="28"/>
        <v>1</v>
      </c>
      <c r="X78" t="s">
        <v>17</v>
      </c>
      <c r="Y78" t="s">
        <v>14</v>
      </c>
      <c r="Z78">
        <v>0</v>
      </c>
      <c r="AA78">
        <f t="shared" si="22"/>
        <v>4116.4385137466925</v>
      </c>
      <c r="AB78">
        <f t="shared" si="23"/>
        <v>18.240730089343916</v>
      </c>
      <c r="AC78">
        <f t="shared" si="24"/>
        <v>10.656083438782161</v>
      </c>
      <c r="AD78" t="s">
        <v>15</v>
      </c>
      <c r="AE78" t="s">
        <v>15</v>
      </c>
      <c r="AF78" t="s">
        <v>24</v>
      </c>
      <c r="AG78" t="s">
        <v>14</v>
      </c>
      <c r="AH78" t="s">
        <v>17</v>
      </c>
      <c r="AI78" t="s">
        <v>18</v>
      </c>
      <c r="AJ78" t="s">
        <v>14</v>
      </c>
      <c r="AK78" t="s">
        <v>14</v>
      </c>
      <c r="AL78" t="s">
        <v>17</v>
      </c>
      <c r="AM78">
        <f t="shared" si="25"/>
        <v>58.419171746899309</v>
      </c>
      <c r="AN78">
        <f t="shared" si="29"/>
        <v>5053.03762875762</v>
      </c>
      <c r="AO78">
        <f t="shared" si="30"/>
        <v>2751.986546142527</v>
      </c>
      <c r="AP78">
        <f t="shared" si="31"/>
        <v>255.05570737859995</v>
      </c>
      <c r="AQ78">
        <f t="shared" si="32"/>
        <v>1404.5406768972041</v>
      </c>
      <c r="AR78">
        <f t="shared" si="33"/>
        <v>2045.9953752364936</v>
      </c>
      <c r="AS78">
        <f t="shared" si="34"/>
        <v>0.25307718854250544</v>
      </c>
      <c r="AT78">
        <f t="shared" si="35"/>
        <v>7.584646650561754</v>
      </c>
      <c r="AU78">
        <f t="shared" si="36"/>
        <v>3.5066334405278461</v>
      </c>
      <c r="AV78">
        <f t="shared" si="37"/>
        <v>27.795967101130326</v>
      </c>
      <c r="AW78">
        <f t="shared" si="38"/>
        <v>5.0475718986741436</v>
      </c>
      <c r="AX78">
        <f t="shared" si="39"/>
        <v>40.490404496345263</v>
      </c>
      <c r="AY78">
        <f t="shared" si="40"/>
        <v>3906.8802176156078</v>
      </c>
      <c r="AZ78">
        <f t="shared" si="41"/>
        <v>177.19150725247005</v>
      </c>
      <c r="BA78">
        <f t="shared" si="42"/>
        <v>41.580828253100691</v>
      </c>
      <c r="BB78" t="s">
        <v>16</v>
      </c>
      <c r="BC78" t="s">
        <v>16</v>
      </c>
      <c r="BD78">
        <v>260.79000000000002</v>
      </c>
      <c r="BE78">
        <v>47.57</v>
      </c>
      <c r="BF78">
        <v>27.79</v>
      </c>
      <c r="BG78">
        <v>19.78</v>
      </c>
      <c r="BH78">
        <v>0.66</v>
      </c>
      <c r="BI78">
        <v>1073526</v>
      </c>
      <c r="BJ78">
        <v>130912</v>
      </c>
      <c r="BK78">
        <v>66814</v>
      </c>
      <c r="BL78">
        <v>1918</v>
      </c>
      <c r="BM78">
        <v>857</v>
      </c>
      <c r="BN78">
        <v>8429</v>
      </c>
      <c r="BO78">
        <v>929</v>
      </c>
      <c r="BP78">
        <v>9038</v>
      </c>
      <c r="BQ78">
        <v>21476</v>
      </c>
      <c r="BR78">
        <v>833025</v>
      </c>
      <c r="BS78" t="s">
        <v>21</v>
      </c>
      <c r="BT78" t="s">
        <v>297</v>
      </c>
      <c r="BU78">
        <v>0</v>
      </c>
      <c r="BV78">
        <v>0.4</v>
      </c>
      <c r="BW78">
        <v>1.2</v>
      </c>
      <c r="BX78">
        <v>0.4</v>
      </c>
      <c r="BY78">
        <v>290.3</v>
      </c>
      <c r="BZ78">
        <v>297.10000000000002</v>
      </c>
      <c r="CA78">
        <v>1</v>
      </c>
      <c r="CB78">
        <v>1</v>
      </c>
      <c r="CC78">
        <v>0</v>
      </c>
      <c r="CD78">
        <f t="shared" si="43"/>
        <v>2.2887916526422081E-2</v>
      </c>
      <c r="CE78">
        <v>1</v>
      </c>
    </row>
    <row r="79" spans="1:83" x14ac:dyDescent="0.4">
      <c r="A79" t="s">
        <v>1026</v>
      </c>
      <c r="B79" t="s">
        <v>59</v>
      </c>
      <c r="C79" t="s">
        <v>73</v>
      </c>
      <c r="D79" t="s">
        <v>82</v>
      </c>
      <c r="E79" t="s">
        <v>59</v>
      </c>
      <c r="F79" t="s">
        <v>22</v>
      </c>
      <c r="G79">
        <v>50</v>
      </c>
      <c r="H79">
        <v>19</v>
      </c>
      <c r="I79">
        <v>36.5</v>
      </c>
      <c r="J79">
        <f t="shared" si="26"/>
        <v>13.5</v>
      </c>
      <c r="K79">
        <f t="shared" si="27"/>
        <v>-17.5</v>
      </c>
      <c r="L79">
        <v>31</v>
      </c>
      <c r="M79">
        <v>36.54</v>
      </c>
      <c r="N79" t="s">
        <v>359</v>
      </c>
      <c r="O79" t="s">
        <v>360</v>
      </c>
      <c r="P79" t="s">
        <v>13</v>
      </c>
      <c r="Q79">
        <v>0.1</v>
      </c>
      <c r="R79" t="s">
        <v>13</v>
      </c>
      <c r="S79" t="s">
        <v>15</v>
      </c>
      <c r="T79" t="s">
        <v>14</v>
      </c>
      <c r="U79">
        <v>0</v>
      </c>
      <c r="V79" t="s">
        <v>14</v>
      </c>
      <c r="W79">
        <f t="shared" si="28"/>
        <v>1</v>
      </c>
      <c r="X79" t="s">
        <v>14</v>
      </c>
      <c r="Y79" t="s">
        <v>14</v>
      </c>
      <c r="Z79">
        <v>0</v>
      </c>
      <c r="AA79">
        <f t="shared" si="22"/>
        <v>6527.822580645161</v>
      </c>
      <c r="AB79">
        <f t="shared" si="23"/>
        <v>76.612903225806448</v>
      </c>
      <c r="AC79">
        <f t="shared" si="24"/>
        <v>43.548387096774192</v>
      </c>
      <c r="AD79" t="s">
        <v>15</v>
      </c>
      <c r="AE79" t="s">
        <v>15</v>
      </c>
      <c r="AF79" t="s">
        <v>18</v>
      </c>
      <c r="AG79" t="s">
        <v>14</v>
      </c>
      <c r="AH79" t="s">
        <v>14</v>
      </c>
      <c r="AI79" t="s">
        <v>41</v>
      </c>
      <c r="AJ79" t="s">
        <v>14</v>
      </c>
      <c r="AK79" t="s">
        <v>14</v>
      </c>
      <c r="AL79" t="s">
        <v>14</v>
      </c>
      <c r="AM79">
        <f t="shared" si="25"/>
        <v>56.842105263157897</v>
      </c>
      <c r="AN79">
        <f t="shared" si="29"/>
        <v>6670.5263157894742</v>
      </c>
      <c r="AO79">
        <f t="shared" si="30"/>
        <v>3113.1578947368421</v>
      </c>
      <c r="AP79">
        <f t="shared" si="31"/>
        <v>1591.0526315789475</v>
      </c>
      <c r="AQ79">
        <f t="shared" si="32"/>
        <v>1198.9473684210527</v>
      </c>
      <c r="AR79">
        <f t="shared" si="33"/>
        <v>1966.3157894736844</v>
      </c>
      <c r="AS79">
        <f t="shared" si="34"/>
        <v>0</v>
      </c>
      <c r="AT79">
        <f t="shared" si="35"/>
        <v>32.661290322580648</v>
      </c>
      <c r="AU79">
        <f t="shared" si="36"/>
        <v>18.257850718005365</v>
      </c>
      <c r="AV79">
        <f t="shared" si="37"/>
        <v>17.973804639419285</v>
      </c>
      <c r="AW79">
        <f t="shared" si="38"/>
        <v>23.851980432381254</v>
      </c>
      <c r="AX79">
        <f t="shared" si="39"/>
        <v>29.477670822155595</v>
      </c>
      <c r="AY79">
        <f t="shared" si="40"/>
        <v>6032.758620689654</v>
      </c>
      <c r="AZ79">
        <f t="shared" si="41"/>
        <v>1217.8947368421054</v>
      </c>
      <c r="BA79">
        <f t="shared" si="42"/>
        <v>42.631578947368425</v>
      </c>
      <c r="BB79" t="s">
        <v>30</v>
      </c>
      <c r="BC79" t="s">
        <v>30</v>
      </c>
      <c r="BD79">
        <v>2.48</v>
      </c>
      <c r="BE79">
        <v>1.9</v>
      </c>
      <c r="BF79">
        <v>1.08</v>
      </c>
      <c r="BG79">
        <v>0.81</v>
      </c>
      <c r="BH79">
        <v>0</v>
      </c>
      <c r="BI79">
        <v>16189</v>
      </c>
      <c r="BJ79">
        <v>5915</v>
      </c>
      <c r="BK79">
        <v>2278</v>
      </c>
      <c r="BL79">
        <v>509</v>
      </c>
      <c r="BM79">
        <v>92</v>
      </c>
      <c r="BN79">
        <v>2314</v>
      </c>
      <c r="BO79">
        <v>108</v>
      </c>
      <c r="BP79">
        <v>361</v>
      </c>
      <c r="BQ79">
        <v>1097</v>
      </c>
      <c r="BR79">
        <v>3499</v>
      </c>
      <c r="BS79" t="s">
        <v>21</v>
      </c>
      <c r="BT79" t="s">
        <v>143</v>
      </c>
      <c r="BU79">
        <v>0</v>
      </c>
      <c r="BV79">
        <v>0</v>
      </c>
      <c r="BW79">
        <v>0</v>
      </c>
      <c r="BX79">
        <v>0</v>
      </c>
      <c r="BY79">
        <v>2.9</v>
      </c>
      <c r="BZ79">
        <v>2.9</v>
      </c>
      <c r="CA79">
        <v>3</v>
      </c>
      <c r="CB79">
        <v>3</v>
      </c>
      <c r="CC79">
        <v>0</v>
      </c>
      <c r="CD79">
        <f t="shared" si="43"/>
        <v>0</v>
      </c>
      <c r="CE79">
        <v>1</v>
      </c>
    </row>
    <row r="80" spans="1:83" x14ac:dyDescent="0.4">
      <c r="A80" t="s">
        <v>1027</v>
      </c>
      <c r="B80" t="s">
        <v>34</v>
      </c>
      <c r="C80" t="s">
        <v>34</v>
      </c>
      <c r="D80" t="s">
        <v>34</v>
      </c>
      <c r="E80" t="s">
        <v>59</v>
      </c>
      <c r="F80" t="s">
        <v>22</v>
      </c>
      <c r="G80">
        <v>70</v>
      </c>
      <c r="H80">
        <v>65</v>
      </c>
      <c r="I80">
        <v>38</v>
      </c>
      <c r="J80">
        <f t="shared" si="26"/>
        <v>32</v>
      </c>
      <c r="K80">
        <f t="shared" si="27"/>
        <v>27</v>
      </c>
      <c r="L80">
        <v>5</v>
      </c>
      <c r="M80">
        <v>37.97</v>
      </c>
      <c r="N80" t="s">
        <v>361</v>
      </c>
      <c r="O80" t="s">
        <v>362</v>
      </c>
      <c r="P80" t="s">
        <v>13</v>
      </c>
      <c r="Q80">
        <v>0.4</v>
      </c>
      <c r="R80" t="s">
        <v>26</v>
      </c>
      <c r="S80" t="s">
        <v>15</v>
      </c>
      <c r="T80" t="s">
        <v>14</v>
      </c>
      <c r="U80">
        <v>32.5</v>
      </c>
      <c r="V80" t="s">
        <v>17</v>
      </c>
      <c r="W80">
        <f t="shared" si="28"/>
        <v>1</v>
      </c>
      <c r="X80" t="s">
        <v>14</v>
      </c>
      <c r="Y80" t="s">
        <v>14</v>
      </c>
      <c r="Z80">
        <v>15</v>
      </c>
      <c r="AA80">
        <f t="shared" si="22"/>
        <v>5972.505543237251</v>
      </c>
      <c r="AB80">
        <f t="shared" si="23"/>
        <v>86.363636363636374</v>
      </c>
      <c r="AC80">
        <f t="shared" si="24"/>
        <v>31.152993348115302</v>
      </c>
      <c r="AD80" t="s">
        <v>15</v>
      </c>
      <c r="AE80" t="s">
        <v>15</v>
      </c>
      <c r="AF80" t="s">
        <v>24</v>
      </c>
      <c r="AG80" t="s">
        <v>14</v>
      </c>
      <c r="AH80" t="s">
        <v>14</v>
      </c>
      <c r="AI80" t="s">
        <v>18</v>
      </c>
      <c r="AJ80" t="s">
        <v>14</v>
      </c>
      <c r="AK80" t="s">
        <v>14</v>
      </c>
      <c r="AL80" t="s">
        <v>17</v>
      </c>
      <c r="AM80">
        <f t="shared" si="25"/>
        <v>36.071887034659817</v>
      </c>
      <c r="AN80">
        <f t="shared" si="29"/>
        <v>6461.6174582798458</v>
      </c>
      <c r="AO80">
        <f t="shared" si="30"/>
        <v>2626.0590500641847</v>
      </c>
      <c r="AP80">
        <f t="shared" si="31"/>
        <v>1763.0295250320924</v>
      </c>
      <c r="AQ80">
        <f t="shared" si="32"/>
        <v>1783.5686777920412</v>
      </c>
      <c r="AR80">
        <f t="shared" si="33"/>
        <v>2072.5288831835687</v>
      </c>
      <c r="AS80">
        <f t="shared" si="34"/>
        <v>0.7760532150776055</v>
      </c>
      <c r="AT80">
        <f t="shared" si="35"/>
        <v>55.210643015521072</v>
      </c>
      <c r="AU80">
        <f t="shared" si="36"/>
        <v>18.326843610934521</v>
      </c>
      <c r="AV80">
        <f t="shared" si="37"/>
        <v>27.602511125238397</v>
      </c>
      <c r="AW80">
        <f t="shared" si="38"/>
        <v>27.284647171010807</v>
      </c>
      <c r="AX80">
        <f t="shared" si="39"/>
        <v>32.074459631277811</v>
      </c>
      <c r="AY80">
        <f t="shared" si="40"/>
        <v>2845.5284552845537</v>
      </c>
      <c r="AZ80">
        <f t="shared" si="41"/>
        <v>1184.2105263157894</v>
      </c>
      <c r="BA80">
        <f t="shared" si="42"/>
        <v>63.928112965340183</v>
      </c>
      <c r="BB80" t="s">
        <v>40</v>
      </c>
      <c r="BC80" t="s">
        <v>40</v>
      </c>
      <c r="BD80">
        <v>9.02</v>
      </c>
      <c r="BE80">
        <v>7.79</v>
      </c>
      <c r="BF80">
        <v>2.81</v>
      </c>
      <c r="BG80">
        <v>4.9800000000000004</v>
      </c>
      <c r="BH80">
        <v>7.0000000000000007E-2</v>
      </c>
      <c r="BI80">
        <v>53872</v>
      </c>
      <c r="BJ80">
        <v>20457</v>
      </c>
      <c r="BK80">
        <v>13894</v>
      </c>
      <c r="BL80">
        <v>2210</v>
      </c>
      <c r="BM80">
        <v>1826</v>
      </c>
      <c r="BN80">
        <v>9225</v>
      </c>
      <c r="BO80">
        <v>473</v>
      </c>
      <c r="BP80">
        <v>1968</v>
      </c>
      <c r="BQ80">
        <v>283</v>
      </c>
      <c r="BR80">
        <v>3500</v>
      </c>
      <c r="BS80" t="s">
        <v>21</v>
      </c>
      <c r="BT80" t="s">
        <v>291</v>
      </c>
      <c r="BU80">
        <v>0</v>
      </c>
      <c r="BV80">
        <v>0.1</v>
      </c>
      <c r="BW80">
        <v>0</v>
      </c>
      <c r="BX80">
        <v>16.8</v>
      </c>
      <c r="BY80">
        <v>10.3</v>
      </c>
      <c r="BZ80">
        <v>12.5</v>
      </c>
      <c r="CA80">
        <v>6</v>
      </c>
      <c r="CB80">
        <v>6</v>
      </c>
      <c r="CC80">
        <v>0</v>
      </c>
      <c r="CD80">
        <f t="shared" si="43"/>
        <v>0.17599999999999993</v>
      </c>
      <c r="CE80">
        <v>1</v>
      </c>
    </row>
    <row r="81" spans="1:83" x14ac:dyDescent="0.4">
      <c r="A81" t="s">
        <v>1028</v>
      </c>
      <c r="B81" t="s">
        <v>59</v>
      </c>
      <c r="C81" t="s">
        <v>73</v>
      </c>
      <c r="D81" t="s">
        <v>82</v>
      </c>
      <c r="E81" t="s">
        <v>59</v>
      </c>
      <c r="F81" t="s">
        <v>12</v>
      </c>
      <c r="G81">
        <v>40</v>
      </c>
      <c r="H81">
        <v>21</v>
      </c>
      <c r="I81">
        <v>54.5</v>
      </c>
      <c r="J81">
        <f t="shared" si="26"/>
        <v>-14.5</v>
      </c>
      <c r="K81">
        <f t="shared" si="27"/>
        <v>-33.5</v>
      </c>
      <c r="L81">
        <v>19</v>
      </c>
      <c r="M81">
        <v>54.42</v>
      </c>
      <c r="N81" t="s">
        <v>364</v>
      </c>
      <c r="O81" t="s">
        <v>365</v>
      </c>
      <c r="P81" t="s">
        <v>13</v>
      </c>
      <c r="Q81">
        <v>0.1</v>
      </c>
      <c r="R81" t="s">
        <v>13</v>
      </c>
      <c r="S81" t="s">
        <v>15</v>
      </c>
      <c r="T81" t="s">
        <v>14</v>
      </c>
      <c r="U81">
        <v>0</v>
      </c>
      <c r="V81" t="s">
        <v>14</v>
      </c>
      <c r="W81">
        <f t="shared" si="28"/>
        <v>0.5</v>
      </c>
      <c r="X81" t="s">
        <v>17</v>
      </c>
      <c r="Y81" t="s">
        <v>14</v>
      </c>
      <c r="Z81">
        <v>0</v>
      </c>
      <c r="AA81">
        <f t="shared" si="22"/>
        <v>5898.2194767441861</v>
      </c>
      <c r="AB81">
        <f t="shared" si="23"/>
        <v>77.107558139534888</v>
      </c>
      <c r="AC81">
        <f t="shared" si="24"/>
        <v>41.722383720930232</v>
      </c>
      <c r="AD81" t="s">
        <v>27</v>
      </c>
      <c r="AE81" t="s">
        <v>15</v>
      </c>
      <c r="AF81" t="s">
        <v>18</v>
      </c>
      <c r="AG81" t="s">
        <v>14</v>
      </c>
      <c r="AH81" t="s">
        <v>17</v>
      </c>
      <c r="AI81" t="s">
        <v>24</v>
      </c>
      <c r="AJ81" t="s">
        <v>14</v>
      </c>
      <c r="AK81" t="s">
        <v>17</v>
      </c>
      <c r="AL81" t="s">
        <v>14</v>
      </c>
      <c r="AM81">
        <f t="shared" si="25"/>
        <v>54.109330819981153</v>
      </c>
      <c r="AN81">
        <f t="shared" si="29"/>
        <v>6885.7115928369467</v>
      </c>
      <c r="AO81">
        <f t="shared" si="30"/>
        <v>4163.0914231856741</v>
      </c>
      <c r="AP81">
        <f t="shared" si="31"/>
        <v>1373.2139491046185</v>
      </c>
      <c r="AQ81">
        <f t="shared" si="32"/>
        <v>1110.5655042412818</v>
      </c>
      <c r="AR81">
        <f t="shared" si="33"/>
        <v>1349.4062205466541</v>
      </c>
      <c r="AS81">
        <f t="shared" si="34"/>
        <v>0.26162790697674421</v>
      </c>
      <c r="AT81">
        <f t="shared" si="35"/>
        <v>35.385174418604656</v>
      </c>
      <c r="AU81">
        <f t="shared" si="36"/>
        <v>16.503735418999309</v>
      </c>
      <c r="AV81">
        <f t="shared" si="37"/>
        <v>16.128550974986791</v>
      </c>
      <c r="AW81">
        <f t="shared" si="38"/>
        <v>19.942948968892953</v>
      </c>
      <c r="AX81">
        <f t="shared" si="39"/>
        <v>19.597193439678936</v>
      </c>
      <c r="AY81">
        <f t="shared" si="40"/>
        <v>2557.6825396825398</v>
      </c>
      <c r="AZ81">
        <f t="shared" si="41"/>
        <v>1136.3996229971726</v>
      </c>
      <c r="BA81">
        <f t="shared" si="42"/>
        <v>45.890669180018854</v>
      </c>
      <c r="BB81" t="s">
        <v>31</v>
      </c>
      <c r="BC81" t="s">
        <v>16</v>
      </c>
      <c r="BD81">
        <v>137.6</v>
      </c>
      <c r="BE81">
        <v>106.1</v>
      </c>
      <c r="BF81">
        <v>57.41</v>
      </c>
      <c r="BG81">
        <v>48.69</v>
      </c>
      <c r="BH81">
        <v>0.36</v>
      </c>
      <c r="BI81">
        <v>811595</v>
      </c>
      <c r="BJ81">
        <v>441704</v>
      </c>
      <c r="BK81">
        <v>117831</v>
      </c>
      <c r="BL81">
        <v>17813</v>
      </c>
      <c r="BM81">
        <v>4200</v>
      </c>
      <c r="BN81">
        <v>120572</v>
      </c>
      <c r="BO81">
        <v>3113</v>
      </c>
      <c r="BP81">
        <v>13718</v>
      </c>
      <c r="BQ81">
        <v>11623</v>
      </c>
      <c r="BR81">
        <v>80567</v>
      </c>
      <c r="BS81" t="s">
        <v>21</v>
      </c>
      <c r="BT81" t="s">
        <v>363</v>
      </c>
      <c r="BU81">
        <v>0.1</v>
      </c>
      <c r="BV81">
        <v>0.6</v>
      </c>
      <c r="BW81">
        <v>3.2</v>
      </c>
      <c r="BX81">
        <v>0</v>
      </c>
      <c r="BY81">
        <v>144.80000000000001</v>
      </c>
      <c r="BZ81">
        <v>150.80000000000001</v>
      </c>
      <c r="CA81">
        <v>2</v>
      </c>
      <c r="CB81">
        <v>1</v>
      </c>
      <c r="CC81">
        <v>0</v>
      </c>
      <c r="CD81">
        <f t="shared" si="43"/>
        <v>3.9787798408488007E-2</v>
      </c>
      <c r="CE81">
        <v>0.5</v>
      </c>
    </row>
    <row r="82" spans="1:83" x14ac:dyDescent="0.4">
      <c r="A82" t="s">
        <v>1029</v>
      </c>
      <c r="B82" t="s">
        <v>59</v>
      </c>
      <c r="C82" t="s">
        <v>73</v>
      </c>
      <c r="D82" t="s">
        <v>82</v>
      </c>
      <c r="E82" t="s">
        <v>59</v>
      </c>
      <c r="F82" t="s">
        <v>22</v>
      </c>
      <c r="G82">
        <v>70</v>
      </c>
      <c r="H82">
        <v>56</v>
      </c>
      <c r="I82">
        <v>77</v>
      </c>
      <c r="J82">
        <f t="shared" si="26"/>
        <v>-7</v>
      </c>
      <c r="K82">
        <f t="shared" si="27"/>
        <v>-21</v>
      </c>
      <c r="L82">
        <v>14</v>
      </c>
      <c r="M82">
        <v>77.09</v>
      </c>
      <c r="N82" t="s">
        <v>366</v>
      </c>
      <c r="O82" t="s">
        <v>367</v>
      </c>
      <c r="P82" t="s">
        <v>13</v>
      </c>
      <c r="Q82">
        <v>0</v>
      </c>
      <c r="R82" t="s">
        <v>13</v>
      </c>
      <c r="S82" t="s">
        <v>15</v>
      </c>
      <c r="T82" t="s">
        <v>14</v>
      </c>
      <c r="U82">
        <v>2.5</v>
      </c>
      <c r="V82" t="s">
        <v>14</v>
      </c>
      <c r="W82">
        <f t="shared" si="28"/>
        <v>1</v>
      </c>
      <c r="X82" t="s">
        <v>14</v>
      </c>
      <c r="Y82" t="s">
        <v>14</v>
      </c>
      <c r="Z82">
        <v>0</v>
      </c>
      <c r="AA82">
        <f t="shared" si="22"/>
        <v>5303.7249283667616</v>
      </c>
      <c r="AB82">
        <f t="shared" si="23"/>
        <v>95.415472779369622</v>
      </c>
      <c r="AC82">
        <f t="shared" si="24"/>
        <v>63.037249283667627</v>
      </c>
      <c r="AD82" t="s">
        <v>15</v>
      </c>
      <c r="AE82" t="s">
        <v>15</v>
      </c>
      <c r="AF82" t="s">
        <v>18</v>
      </c>
      <c r="AG82" t="s">
        <v>14</v>
      </c>
      <c r="AH82" t="s">
        <v>14</v>
      </c>
      <c r="AI82" t="s">
        <v>14</v>
      </c>
      <c r="AJ82" t="s">
        <v>14</v>
      </c>
      <c r="AK82" t="s">
        <v>14</v>
      </c>
      <c r="AL82" t="s">
        <v>14</v>
      </c>
      <c r="AM82">
        <f t="shared" si="25"/>
        <v>66.066066066066071</v>
      </c>
      <c r="AN82">
        <f t="shared" si="29"/>
        <v>5454.3543543543547</v>
      </c>
      <c r="AO82">
        <f t="shared" si="30"/>
        <v>4284.9849849849852</v>
      </c>
      <c r="AP82">
        <f t="shared" si="31"/>
        <v>175.07507507507506</v>
      </c>
      <c r="AQ82">
        <f t="shared" si="32"/>
        <v>491.89189189189187</v>
      </c>
      <c r="AR82">
        <f t="shared" si="33"/>
        <v>994.29429429429422</v>
      </c>
      <c r="AS82">
        <f t="shared" si="34"/>
        <v>0.28653295128939826</v>
      </c>
      <c r="AT82">
        <f t="shared" si="35"/>
        <v>32.378223495702002</v>
      </c>
      <c r="AU82">
        <f t="shared" si="36"/>
        <v>2.3344161206849088</v>
      </c>
      <c r="AV82">
        <f t="shared" si="37"/>
        <v>9.0183339756648131</v>
      </c>
      <c r="AW82">
        <f t="shared" si="38"/>
        <v>3.2098221659417496</v>
      </c>
      <c r="AX82">
        <f t="shared" si="39"/>
        <v>18.229367395254087</v>
      </c>
      <c r="AY82">
        <f t="shared" si="40"/>
        <v>2137.4999999999982</v>
      </c>
      <c r="AZ82">
        <f t="shared" si="41"/>
        <v>127.32732732732732</v>
      </c>
      <c r="BA82">
        <f t="shared" si="42"/>
        <v>33.933933933933929</v>
      </c>
      <c r="BB82" t="s">
        <v>48</v>
      </c>
      <c r="BC82" t="s">
        <v>48</v>
      </c>
      <c r="BD82">
        <v>3.49</v>
      </c>
      <c r="BE82">
        <v>3.33</v>
      </c>
      <c r="BF82">
        <v>2.2000000000000002</v>
      </c>
      <c r="BG82">
        <v>1.1299999999999999</v>
      </c>
      <c r="BH82">
        <v>0.01</v>
      </c>
      <c r="BI82">
        <v>18510</v>
      </c>
      <c r="BJ82">
        <v>14269</v>
      </c>
      <c r="BK82">
        <v>1638</v>
      </c>
      <c r="BL82">
        <v>78</v>
      </c>
      <c r="BM82">
        <v>30</v>
      </c>
      <c r="BN82">
        <v>424</v>
      </c>
      <c r="BO82">
        <v>51</v>
      </c>
      <c r="BP82">
        <v>896</v>
      </c>
      <c r="BQ82">
        <v>777</v>
      </c>
      <c r="BR82">
        <v>342</v>
      </c>
      <c r="BS82" t="s">
        <v>21</v>
      </c>
      <c r="BT82" t="s">
        <v>179</v>
      </c>
      <c r="BU82">
        <v>0</v>
      </c>
      <c r="BV82">
        <v>0</v>
      </c>
      <c r="BW82">
        <v>0</v>
      </c>
      <c r="BX82">
        <v>0.2</v>
      </c>
      <c r="BY82">
        <v>4</v>
      </c>
      <c r="BZ82">
        <v>4</v>
      </c>
      <c r="CA82">
        <v>8</v>
      </c>
      <c r="CB82">
        <v>8</v>
      </c>
      <c r="CC82">
        <v>0</v>
      </c>
      <c r="CD82">
        <f t="shared" si="43"/>
        <v>0</v>
      </c>
      <c r="CE82">
        <v>1</v>
      </c>
    </row>
    <row r="83" spans="1:83" x14ac:dyDescent="0.4">
      <c r="A83" t="s">
        <v>1030</v>
      </c>
      <c r="B83" t="s">
        <v>34</v>
      </c>
      <c r="C83" t="s">
        <v>34</v>
      </c>
      <c r="D83" t="s">
        <v>34</v>
      </c>
      <c r="E83" t="s">
        <v>59</v>
      </c>
      <c r="F83" t="s">
        <v>22</v>
      </c>
      <c r="G83">
        <v>60</v>
      </c>
      <c r="H83">
        <v>76</v>
      </c>
      <c r="I83">
        <v>79</v>
      </c>
      <c r="J83">
        <f t="shared" si="26"/>
        <v>-19</v>
      </c>
      <c r="K83">
        <f t="shared" si="27"/>
        <v>-3</v>
      </c>
      <c r="L83">
        <v>-16</v>
      </c>
      <c r="M83">
        <v>79.11</v>
      </c>
      <c r="N83" t="s">
        <v>368</v>
      </c>
      <c r="O83" t="s">
        <v>369</v>
      </c>
      <c r="P83" t="s">
        <v>13</v>
      </c>
      <c r="Q83">
        <v>0.3</v>
      </c>
      <c r="R83" t="s">
        <v>26</v>
      </c>
      <c r="S83" t="s">
        <v>15</v>
      </c>
      <c r="T83" t="s">
        <v>14</v>
      </c>
      <c r="U83">
        <v>22.5</v>
      </c>
      <c r="V83" t="s">
        <v>17</v>
      </c>
      <c r="W83">
        <f t="shared" si="28"/>
        <v>1</v>
      </c>
      <c r="X83" t="s">
        <v>14</v>
      </c>
      <c r="Y83" t="s">
        <v>14</v>
      </c>
      <c r="Z83">
        <v>0</v>
      </c>
      <c r="AA83">
        <f t="shared" si="22"/>
        <v>8067.8035470668483</v>
      </c>
      <c r="AB83">
        <f t="shared" si="23"/>
        <v>97.680763983628921</v>
      </c>
      <c r="AC83">
        <f t="shared" si="24"/>
        <v>59.754433833560711</v>
      </c>
      <c r="AD83" t="s">
        <v>15</v>
      </c>
      <c r="AE83" t="s">
        <v>15</v>
      </c>
      <c r="AF83" t="s">
        <v>18</v>
      </c>
      <c r="AG83" t="s">
        <v>14</v>
      </c>
      <c r="AH83" t="s">
        <v>14</v>
      </c>
      <c r="AI83" t="s">
        <v>18</v>
      </c>
      <c r="AJ83" t="s">
        <v>14</v>
      </c>
      <c r="AK83" t="s">
        <v>14</v>
      </c>
      <c r="AL83" t="s">
        <v>14</v>
      </c>
      <c r="AM83">
        <f t="shared" si="25"/>
        <v>61.173184357541899</v>
      </c>
      <c r="AN83">
        <f t="shared" si="29"/>
        <v>8186.1731843575417</v>
      </c>
      <c r="AO83">
        <f t="shared" si="30"/>
        <v>6533.6592178770952</v>
      </c>
      <c r="AP83">
        <f t="shared" si="31"/>
        <v>814.24581005586595</v>
      </c>
      <c r="AQ83">
        <f t="shared" si="32"/>
        <v>477.09497206703912</v>
      </c>
      <c r="AR83">
        <f t="shared" si="33"/>
        <v>838.26815642458098</v>
      </c>
      <c r="AS83">
        <f t="shared" si="34"/>
        <v>0.40927694406548432</v>
      </c>
      <c r="AT83">
        <f t="shared" si="35"/>
        <v>37.92633015006821</v>
      </c>
      <c r="AU83">
        <f t="shared" si="36"/>
        <v>7.3413747803388327</v>
      </c>
      <c r="AV83">
        <f t="shared" si="37"/>
        <v>5.8280586218074486</v>
      </c>
      <c r="AW83">
        <f t="shared" si="38"/>
        <v>9.9465988773821508</v>
      </c>
      <c r="AX83">
        <f t="shared" si="39"/>
        <v>10.240049135857234</v>
      </c>
      <c r="AY83">
        <f t="shared" si="40"/>
        <v>2976.4705882352955</v>
      </c>
      <c r="AZ83">
        <f t="shared" si="41"/>
        <v>600.97765363128485</v>
      </c>
      <c r="BA83">
        <f t="shared" si="42"/>
        <v>38.826815642458101</v>
      </c>
      <c r="BB83" t="s">
        <v>29</v>
      </c>
      <c r="BC83" t="s">
        <v>29</v>
      </c>
      <c r="BD83">
        <v>7.33</v>
      </c>
      <c r="BE83">
        <v>7.16</v>
      </c>
      <c r="BF83">
        <v>4.38</v>
      </c>
      <c r="BG83">
        <v>2.78</v>
      </c>
      <c r="BH83">
        <v>0.03</v>
      </c>
      <c r="BI83">
        <v>59137</v>
      </c>
      <c r="BJ83">
        <v>46781</v>
      </c>
      <c r="BK83">
        <v>3416</v>
      </c>
      <c r="BL83">
        <v>733</v>
      </c>
      <c r="BM83">
        <v>559</v>
      </c>
      <c r="BN83">
        <v>4303</v>
      </c>
      <c r="BO83">
        <v>235</v>
      </c>
      <c r="BP83">
        <v>1336</v>
      </c>
      <c r="BQ83">
        <v>1250</v>
      </c>
      <c r="BR83">
        <v>506</v>
      </c>
      <c r="BS83" t="s">
        <v>21</v>
      </c>
      <c r="BT83" t="s">
        <v>282</v>
      </c>
      <c r="BU83">
        <v>0</v>
      </c>
      <c r="BV83">
        <v>0.6</v>
      </c>
      <c r="BW83">
        <v>0</v>
      </c>
      <c r="BX83">
        <v>2.2000000000000002</v>
      </c>
      <c r="BY83">
        <v>7.7</v>
      </c>
      <c r="BZ83">
        <v>7.9</v>
      </c>
      <c r="CA83">
        <v>5</v>
      </c>
      <c r="CB83">
        <v>5</v>
      </c>
      <c r="CC83">
        <v>0</v>
      </c>
      <c r="CD83">
        <f t="shared" si="43"/>
        <v>2.5316455696202556E-2</v>
      </c>
      <c r="CE83">
        <v>1</v>
      </c>
    </row>
    <row r="84" spans="1:83" x14ac:dyDescent="0.4">
      <c r="A84" t="s">
        <v>1031</v>
      </c>
      <c r="B84" t="s">
        <v>34</v>
      </c>
      <c r="C84" t="s">
        <v>34</v>
      </c>
      <c r="D84" t="s">
        <v>34</v>
      </c>
      <c r="E84" t="s">
        <v>59</v>
      </c>
      <c r="F84" t="s">
        <v>22</v>
      </c>
      <c r="G84">
        <v>50</v>
      </c>
      <c r="H84">
        <v>88</v>
      </c>
      <c r="I84">
        <v>74.5</v>
      </c>
      <c r="J84">
        <f t="shared" si="26"/>
        <v>-24.5</v>
      </c>
      <c r="K84">
        <f t="shared" si="27"/>
        <v>13.5</v>
      </c>
      <c r="L84">
        <v>-38</v>
      </c>
      <c r="M84">
        <v>74.31</v>
      </c>
      <c r="N84" t="s">
        <v>372</v>
      </c>
      <c r="O84" t="s">
        <v>373</v>
      </c>
      <c r="P84" t="s">
        <v>13</v>
      </c>
      <c r="Q84">
        <v>0</v>
      </c>
      <c r="R84" t="s">
        <v>13</v>
      </c>
      <c r="S84" t="s">
        <v>15</v>
      </c>
      <c r="T84" t="s">
        <v>14</v>
      </c>
      <c r="U84">
        <v>5</v>
      </c>
      <c r="V84" t="s">
        <v>14</v>
      </c>
      <c r="W84">
        <f t="shared" si="28"/>
        <v>0.8</v>
      </c>
      <c r="X84" t="s">
        <v>14</v>
      </c>
      <c r="Y84" t="s">
        <v>14</v>
      </c>
      <c r="Z84">
        <v>0</v>
      </c>
      <c r="AA84">
        <f t="shared" si="22"/>
        <v>1847.1511147811727</v>
      </c>
      <c r="AB84">
        <f t="shared" si="23"/>
        <v>28.819157720891827</v>
      </c>
      <c r="AC84">
        <f t="shared" si="24"/>
        <v>16.432700247729151</v>
      </c>
      <c r="AD84" t="s">
        <v>27</v>
      </c>
      <c r="AE84" t="s">
        <v>36</v>
      </c>
      <c r="AF84" t="s">
        <v>18</v>
      </c>
      <c r="AG84" t="s">
        <v>14</v>
      </c>
      <c r="AH84" t="s">
        <v>14</v>
      </c>
      <c r="AI84" t="s">
        <v>18</v>
      </c>
      <c r="AJ84" t="s">
        <v>14</v>
      </c>
      <c r="AK84" t="s">
        <v>14</v>
      </c>
      <c r="AL84" t="s">
        <v>14</v>
      </c>
      <c r="AM84">
        <f t="shared" si="25"/>
        <v>57.020057306590253</v>
      </c>
      <c r="AN84">
        <f t="shared" si="29"/>
        <v>5916.9054441260741</v>
      </c>
      <c r="AO84">
        <f t="shared" si="30"/>
        <v>4763.0372492836677</v>
      </c>
      <c r="AP84">
        <f t="shared" si="31"/>
        <v>678.51002865329508</v>
      </c>
      <c r="AQ84">
        <f t="shared" si="32"/>
        <v>267.33524355300858</v>
      </c>
      <c r="AR84">
        <f t="shared" si="33"/>
        <v>475.35816618911173</v>
      </c>
      <c r="AS84">
        <f t="shared" si="34"/>
        <v>57.225433526011564</v>
      </c>
      <c r="AT84">
        <f t="shared" si="35"/>
        <v>12.386457473162675</v>
      </c>
      <c r="AU84">
        <f t="shared" si="36"/>
        <v>7.535108958837772</v>
      </c>
      <c r="AV84">
        <f t="shared" si="37"/>
        <v>4.5181598062953992</v>
      </c>
      <c r="AW84">
        <f t="shared" si="38"/>
        <v>11.467312348668282</v>
      </c>
      <c r="AX84">
        <f t="shared" si="39"/>
        <v>8.0338983050847457</v>
      </c>
      <c r="AY84">
        <f t="shared" si="40"/>
        <v>198.49187935034806</v>
      </c>
      <c r="AZ84">
        <f t="shared" si="41"/>
        <v>445.84527220630372</v>
      </c>
      <c r="BA84">
        <f t="shared" si="42"/>
        <v>42.97994269340974</v>
      </c>
      <c r="BB84" t="s">
        <v>29</v>
      </c>
      <c r="BC84" t="s">
        <v>28</v>
      </c>
      <c r="BD84">
        <v>12.11</v>
      </c>
      <c r="BE84">
        <v>3.49</v>
      </c>
      <c r="BF84">
        <v>1.99</v>
      </c>
      <c r="BG84">
        <v>1.5</v>
      </c>
      <c r="BH84">
        <v>6.93</v>
      </c>
      <c r="BI84">
        <v>22369</v>
      </c>
      <c r="BJ84">
        <v>16623</v>
      </c>
      <c r="BK84">
        <v>933</v>
      </c>
      <c r="BL84">
        <v>624</v>
      </c>
      <c r="BM84">
        <v>116</v>
      </c>
      <c r="BN84">
        <v>1556</v>
      </c>
      <c r="BO84">
        <v>72</v>
      </c>
      <c r="BP84">
        <v>512</v>
      </c>
      <c r="BQ84">
        <v>214</v>
      </c>
      <c r="BR84">
        <v>1711</v>
      </c>
      <c r="BS84" t="s">
        <v>21</v>
      </c>
      <c r="BT84" t="s">
        <v>371</v>
      </c>
      <c r="BU84">
        <v>0</v>
      </c>
      <c r="BV84">
        <v>0</v>
      </c>
      <c r="BW84">
        <v>0</v>
      </c>
      <c r="BX84">
        <v>0</v>
      </c>
      <c r="BY84">
        <v>13.7</v>
      </c>
      <c r="BZ84">
        <v>13.7</v>
      </c>
      <c r="CA84">
        <v>5</v>
      </c>
      <c r="CB84">
        <v>4</v>
      </c>
      <c r="CC84">
        <v>0</v>
      </c>
      <c r="CD84">
        <f t="shared" si="43"/>
        <v>0</v>
      </c>
      <c r="CE84">
        <v>0.8</v>
      </c>
    </row>
    <row r="85" spans="1:83" x14ac:dyDescent="0.4">
      <c r="A85" t="s">
        <v>1032</v>
      </c>
      <c r="B85" t="s">
        <v>59</v>
      </c>
      <c r="C85" t="s">
        <v>73</v>
      </c>
      <c r="D85" t="s">
        <v>82</v>
      </c>
      <c r="E85" t="s">
        <v>59</v>
      </c>
      <c r="F85" t="s">
        <v>22</v>
      </c>
      <c r="G85">
        <v>50</v>
      </c>
      <c r="H85">
        <v>45</v>
      </c>
      <c r="I85">
        <v>28.5</v>
      </c>
      <c r="J85">
        <f t="shared" si="26"/>
        <v>21.5</v>
      </c>
      <c r="K85">
        <f t="shared" si="27"/>
        <v>16.5</v>
      </c>
      <c r="L85">
        <v>5</v>
      </c>
      <c r="M85">
        <v>28.61</v>
      </c>
      <c r="N85" t="s">
        <v>375</v>
      </c>
      <c r="O85" t="s">
        <v>376</v>
      </c>
      <c r="P85" t="s">
        <v>13</v>
      </c>
      <c r="Q85">
        <v>0.1</v>
      </c>
      <c r="R85" t="s">
        <v>13</v>
      </c>
      <c r="S85" t="s">
        <v>27</v>
      </c>
      <c r="T85" t="s">
        <v>14</v>
      </c>
      <c r="U85">
        <v>5</v>
      </c>
      <c r="V85" t="s">
        <v>14</v>
      </c>
      <c r="W85">
        <f t="shared" si="28"/>
        <v>0.8</v>
      </c>
      <c r="X85" t="s">
        <v>14</v>
      </c>
      <c r="Y85" t="s">
        <v>14</v>
      </c>
      <c r="Z85">
        <v>0</v>
      </c>
      <c r="AA85">
        <f t="shared" si="22"/>
        <v>5438.0018674136318</v>
      </c>
      <c r="AB85">
        <f t="shared" si="23"/>
        <v>60.784313725490193</v>
      </c>
      <c r="AC85">
        <f t="shared" si="24"/>
        <v>29.225023342670401</v>
      </c>
      <c r="AD85" t="s">
        <v>15</v>
      </c>
      <c r="AE85" t="s">
        <v>15</v>
      </c>
      <c r="AF85" t="s">
        <v>24</v>
      </c>
      <c r="AG85" t="s">
        <v>14</v>
      </c>
      <c r="AH85" t="s">
        <v>14</v>
      </c>
      <c r="AI85" t="s">
        <v>18</v>
      </c>
      <c r="AJ85" t="s">
        <v>14</v>
      </c>
      <c r="AK85" t="s">
        <v>14</v>
      </c>
      <c r="AL85" t="s">
        <v>14</v>
      </c>
      <c r="AM85">
        <f t="shared" si="25"/>
        <v>48.079877112135179</v>
      </c>
      <c r="AN85">
        <f t="shared" si="29"/>
        <v>6201.2288786482341</v>
      </c>
      <c r="AO85">
        <f t="shared" si="30"/>
        <v>2559.7542242703535</v>
      </c>
      <c r="AP85">
        <f t="shared" si="31"/>
        <v>724.73118279569894</v>
      </c>
      <c r="AQ85">
        <f t="shared" si="32"/>
        <v>1641.0906298003072</v>
      </c>
      <c r="AR85">
        <f t="shared" si="33"/>
        <v>2916.7434715821814</v>
      </c>
      <c r="AS85">
        <f t="shared" si="34"/>
        <v>0.18674136321195142</v>
      </c>
      <c r="AT85">
        <f t="shared" si="35"/>
        <v>31.559290382819793</v>
      </c>
      <c r="AU85">
        <f t="shared" si="36"/>
        <v>8.9422838741639836</v>
      </c>
      <c r="AV85">
        <f t="shared" si="37"/>
        <v>26.463958384939311</v>
      </c>
      <c r="AW85">
        <f t="shared" si="38"/>
        <v>11.686896210056974</v>
      </c>
      <c r="AX85">
        <f t="shared" si="39"/>
        <v>47.034926925935103</v>
      </c>
      <c r="AY85">
        <f t="shared" si="40"/>
        <v>4248.0952380952367</v>
      </c>
      <c r="AZ85">
        <f t="shared" si="41"/>
        <v>554.53149001536099</v>
      </c>
      <c r="BA85">
        <f t="shared" si="42"/>
        <v>51.920122887864828</v>
      </c>
      <c r="BB85" t="s">
        <v>29</v>
      </c>
      <c r="BC85" t="s">
        <v>28</v>
      </c>
      <c r="BD85">
        <v>21.42</v>
      </c>
      <c r="BE85">
        <v>13.02</v>
      </c>
      <c r="BF85">
        <v>6.26</v>
      </c>
      <c r="BG85">
        <v>6.76</v>
      </c>
      <c r="BH85">
        <v>0.04</v>
      </c>
      <c r="BI85">
        <v>116482</v>
      </c>
      <c r="BJ85">
        <v>33328</v>
      </c>
      <c r="BK85">
        <v>21367</v>
      </c>
      <c r="BL85">
        <v>1057</v>
      </c>
      <c r="BM85">
        <v>580</v>
      </c>
      <c r="BN85">
        <v>7220</v>
      </c>
      <c r="BO85">
        <v>579</v>
      </c>
      <c r="BP85">
        <v>4147</v>
      </c>
      <c r="BQ85">
        <v>12462</v>
      </c>
      <c r="BR85">
        <v>35684</v>
      </c>
      <c r="BS85" t="s">
        <v>21</v>
      </c>
      <c r="BT85" t="s">
        <v>282</v>
      </c>
      <c r="BU85">
        <v>0</v>
      </c>
      <c r="BV85">
        <v>0.5</v>
      </c>
      <c r="BW85">
        <v>0</v>
      </c>
      <c r="BX85">
        <v>0.5</v>
      </c>
      <c r="BY85">
        <v>26.1</v>
      </c>
      <c r="BZ85">
        <v>26.4</v>
      </c>
      <c r="CA85">
        <v>5</v>
      </c>
      <c r="CB85">
        <v>4</v>
      </c>
      <c r="CC85">
        <v>0</v>
      </c>
      <c r="CD85">
        <f t="shared" si="43"/>
        <v>1.1363636363636243E-2</v>
      </c>
      <c r="CE85">
        <v>0.8</v>
      </c>
    </row>
    <row r="86" spans="1:83" x14ac:dyDescent="0.4">
      <c r="A86" t="s">
        <v>1033</v>
      </c>
      <c r="B86" t="s">
        <v>59</v>
      </c>
      <c r="C86" t="s">
        <v>73</v>
      </c>
      <c r="D86" t="s">
        <v>82</v>
      </c>
      <c r="E86" t="s">
        <v>59</v>
      </c>
      <c r="F86" t="s">
        <v>22</v>
      </c>
      <c r="G86">
        <v>40</v>
      </c>
      <c r="H86">
        <v>30</v>
      </c>
      <c r="I86">
        <v>32</v>
      </c>
      <c r="J86">
        <f t="shared" si="26"/>
        <v>8</v>
      </c>
      <c r="K86">
        <f t="shared" si="27"/>
        <v>-2</v>
      </c>
      <c r="L86">
        <v>10</v>
      </c>
      <c r="M86">
        <v>32.119999999999997</v>
      </c>
      <c r="N86" t="s">
        <v>378</v>
      </c>
      <c r="O86" t="s">
        <v>379</v>
      </c>
      <c r="P86" t="s">
        <v>13</v>
      </c>
      <c r="Q86">
        <v>0</v>
      </c>
      <c r="R86" t="s">
        <v>13</v>
      </c>
      <c r="S86" t="s">
        <v>15</v>
      </c>
      <c r="T86" t="s">
        <v>14</v>
      </c>
      <c r="U86">
        <v>7.5</v>
      </c>
      <c r="V86" t="s">
        <v>14</v>
      </c>
      <c r="W86">
        <f t="shared" si="28"/>
        <v>0.94117647058823528</v>
      </c>
      <c r="X86" t="s">
        <v>14</v>
      </c>
      <c r="Y86" t="s">
        <v>17</v>
      </c>
      <c r="Z86">
        <v>0</v>
      </c>
      <c r="AA86">
        <f t="shared" si="22"/>
        <v>4575.2293577981645</v>
      </c>
      <c r="AB86">
        <f t="shared" si="23"/>
        <v>73.394495412844037</v>
      </c>
      <c r="AC86">
        <f t="shared" si="24"/>
        <v>39.449541284403665</v>
      </c>
      <c r="AD86" t="s">
        <v>15</v>
      </c>
      <c r="AE86" t="s">
        <v>15</v>
      </c>
      <c r="AF86" t="s">
        <v>18</v>
      </c>
      <c r="AG86" t="s">
        <v>14</v>
      </c>
      <c r="AH86" t="s">
        <v>14</v>
      </c>
      <c r="AI86" t="s">
        <v>14</v>
      </c>
      <c r="AJ86" t="s">
        <v>14</v>
      </c>
      <c r="AK86" t="s">
        <v>14</v>
      </c>
      <c r="AL86" t="s">
        <v>14</v>
      </c>
      <c r="AM86">
        <f t="shared" si="25"/>
        <v>53.75</v>
      </c>
      <c r="AN86">
        <f t="shared" si="29"/>
        <v>4620</v>
      </c>
      <c r="AO86">
        <f t="shared" si="30"/>
        <v>2002.5</v>
      </c>
      <c r="AP86">
        <f t="shared" si="31"/>
        <v>256.25</v>
      </c>
      <c r="AQ86">
        <f t="shared" si="32"/>
        <v>842.5</v>
      </c>
      <c r="AR86">
        <f t="shared" si="33"/>
        <v>2361.25</v>
      </c>
      <c r="AS86">
        <f t="shared" si="34"/>
        <v>0</v>
      </c>
      <c r="AT86">
        <f t="shared" si="35"/>
        <v>33.027522935779814</v>
      </c>
      <c r="AU86">
        <f t="shared" si="36"/>
        <v>3.7878787878787881</v>
      </c>
      <c r="AV86">
        <f t="shared" si="37"/>
        <v>18.235930735930737</v>
      </c>
      <c r="AW86">
        <f t="shared" si="38"/>
        <v>5.5465367965367962</v>
      </c>
      <c r="AX86">
        <f t="shared" si="39"/>
        <v>51.109307359307358</v>
      </c>
      <c r="AY86">
        <f t="shared" si="40"/>
        <v>4444.8275862068958</v>
      </c>
      <c r="AZ86">
        <f t="shared" si="41"/>
        <v>175</v>
      </c>
      <c r="BA86">
        <f t="shared" si="42"/>
        <v>45</v>
      </c>
      <c r="BB86" t="s">
        <v>45</v>
      </c>
      <c r="BC86" t="s">
        <v>60</v>
      </c>
      <c r="BD86">
        <v>1.0900000000000001</v>
      </c>
      <c r="BE86">
        <v>0.8</v>
      </c>
      <c r="BF86">
        <v>0.43</v>
      </c>
      <c r="BG86">
        <v>0.36</v>
      </c>
      <c r="BH86">
        <v>0</v>
      </c>
      <c r="BI86">
        <v>4987</v>
      </c>
      <c r="BJ86">
        <v>1602</v>
      </c>
      <c r="BK86">
        <v>674</v>
      </c>
      <c r="BL86">
        <v>39</v>
      </c>
      <c r="BM86">
        <v>6</v>
      </c>
      <c r="BN86">
        <v>140</v>
      </c>
      <c r="BO86">
        <v>20</v>
      </c>
      <c r="BP86">
        <v>210</v>
      </c>
      <c r="BQ86">
        <v>1005</v>
      </c>
      <c r="BR86">
        <v>1289</v>
      </c>
      <c r="BS86" t="s">
        <v>44</v>
      </c>
      <c r="BT86" t="s">
        <v>201</v>
      </c>
      <c r="BU86">
        <v>0</v>
      </c>
      <c r="BV86">
        <v>0</v>
      </c>
      <c r="BW86">
        <v>0</v>
      </c>
      <c r="BX86">
        <v>0.1</v>
      </c>
      <c r="BY86">
        <v>1.4</v>
      </c>
      <c r="BZ86">
        <v>1.4</v>
      </c>
      <c r="CA86">
        <v>10</v>
      </c>
      <c r="CB86">
        <v>10</v>
      </c>
      <c r="CC86">
        <v>0</v>
      </c>
      <c r="CD86">
        <f t="shared" si="43"/>
        <v>0</v>
      </c>
      <c r="CE86">
        <v>1</v>
      </c>
    </row>
    <row r="87" spans="1:83" x14ac:dyDescent="0.4">
      <c r="A87" t="s">
        <v>1034</v>
      </c>
      <c r="B87" t="s">
        <v>59</v>
      </c>
      <c r="C87" t="s">
        <v>73</v>
      </c>
      <c r="D87" t="s">
        <v>82</v>
      </c>
      <c r="E87" t="s">
        <v>59</v>
      </c>
      <c r="F87" t="s">
        <v>22</v>
      </c>
      <c r="G87">
        <v>50</v>
      </c>
      <c r="H87">
        <v>49</v>
      </c>
      <c r="I87">
        <v>9</v>
      </c>
      <c r="J87">
        <f t="shared" si="26"/>
        <v>41</v>
      </c>
      <c r="K87">
        <f t="shared" si="27"/>
        <v>40</v>
      </c>
      <c r="L87">
        <v>1</v>
      </c>
      <c r="M87">
        <v>9.16</v>
      </c>
      <c r="N87" t="s">
        <v>384</v>
      </c>
      <c r="O87" t="s">
        <v>385</v>
      </c>
      <c r="P87" t="s">
        <v>13</v>
      </c>
      <c r="Q87">
        <v>2.4</v>
      </c>
      <c r="R87" t="s">
        <v>26</v>
      </c>
      <c r="S87" t="s">
        <v>15</v>
      </c>
      <c r="T87" t="s">
        <v>17</v>
      </c>
      <c r="U87">
        <v>32.5</v>
      </c>
      <c r="V87" t="s">
        <v>17</v>
      </c>
      <c r="W87">
        <f t="shared" si="28"/>
        <v>0.5</v>
      </c>
      <c r="X87" t="s">
        <v>14</v>
      </c>
      <c r="Y87" t="s">
        <v>14</v>
      </c>
      <c r="Z87">
        <v>50</v>
      </c>
      <c r="AA87">
        <f t="shared" si="22"/>
        <v>5389.9641577060929</v>
      </c>
      <c r="AB87">
        <f t="shared" si="23"/>
        <v>20.788530465949819</v>
      </c>
      <c r="AC87">
        <f t="shared" si="24"/>
        <v>9.67741935483871</v>
      </c>
      <c r="AD87" t="s">
        <v>15</v>
      </c>
      <c r="AE87" t="s">
        <v>15</v>
      </c>
      <c r="AF87" t="s">
        <v>18</v>
      </c>
      <c r="AG87" t="s">
        <v>14</v>
      </c>
      <c r="AH87" t="s">
        <v>14</v>
      </c>
      <c r="AI87" t="s">
        <v>18</v>
      </c>
      <c r="AJ87" t="s">
        <v>14</v>
      </c>
      <c r="AK87" t="s">
        <v>14</v>
      </c>
      <c r="AL87" t="s">
        <v>17</v>
      </c>
      <c r="AM87">
        <f t="shared" si="25"/>
        <v>46.551724137931039</v>
      </c>
      <c r="AN87">
        <f t="shared" si="29"/>
        <v>8605.1724137931033</v>
      </c>
      <c r="AO87">
        <f t="shared" si="30"/>
        <v>2375.8620689655172</v>
      </c>
      <c r="AP87">
        <f t="shared" si="31"/>
        <v>3422.4137931034484</v>
      </c>
      <c r="AQ87">
        <f t="shared" si="32"/>
        <v>1803.4482758620691</v>
      </c>
      <c r="AR87">
        <f t="shared" si="33"/>
        <v>2806.8965517241381</v>
      </c>
      <c r="AS87">
        <f t="shared" si="34"/>
        <v>0</v>
      </c>
      <c r="AT87">
        <f t="shared" si="35"/>
        <v>11.111111111111111</v>
      </c>
      <c r="AU87">
        <f t="shared" si="36"/>
        <v>32.05770386696053</v>
      </c>
      <c r="AV87">
        <f t="shared" si="37"/>
        <v>20.957723903025446</v>
      </c>
      <c r="AW87">
        <f t="shared" si="38"/>
        <v>39.771588859947904</v>
      </c>
      <c r="AX87">
        <f t="shared" si="39"/>
        <v>32.61871368463234</v>
      </c>
      <c r="AY87">
        <f t="shared" si="40"/>
        <v>4541.1764705882351</v>
      </c>
      <c r="AZ87">
        <f t="shared" si="41"/>
        <v>2758.6206896551726</v>
      </c>
      <c r="BA87">
        <f t="shared" si="42"/>
        <v>53.448275862068968</v>
      </c>
      <c r="BB87" t="s">
        <v>40</v>
      </c>
      <c r="BC87" t="s">
        <v>30</v>
      </c>
      <c r="BD87">
        <v>2.79</v>
      </c>
      <c r="BE87">
        <v>0.57999999999999996</v>
      </c>
      <c r="BF87">
        <v>0.27</v>
      </c>
      <c r="BG87">
        <v>0.31</v>
      </c>
      <c r="BH87">
        <v>0</v>
      </c>
      <c r="BI87">
        <v>15038</v>
      </c>
      <c r="BJ87">
        <v>1378</v>
      </c>
      <c r="BK87">
        <v>1046</v>
      </c>
      <c r="BL87">
        <v>247</v>
      </c>
      <c r="BM87">
        <v>16</v>
      </c>
      <c r="BN87">
        <v>1600</v>
      </c>
      <c r="BO87">
        <v>122</v>
      </c>
      <c r="BP87">
        <v>178</v>
      </c>
      <c r="BQ87">
        <v>404</v>
      </c>
      <c r="BR87">
        <v>10036</v>
      </c>
      <c r="BS87" t="s">
        <v>21</v>
      </c>
      <c r="BT87" t="s">
        <v>143</v>
      </c>
      <c r="BU87">
        <v>0</v>
      </c>
      <c r="BV87">
        <v>4.7</v>
      </c>
      <c r="BW87">
        <v>0</v>
      </c>
      <c r="BX87">
        <v>16.100000000000001</v>
      </c>
      <c r="BY87">
        <v>3.5</v>
      </c>
      <c r="BZ87">
        <v>4.5</v>
      </c>
      <c r="CA87">
        <v>6</v>
      </c>
      <c r="CB87">
        <v>3</v>
      </c>
      <c r="CC87">
        <v>0</v>
      </c>
      <c r="CD87">
        <f t="shared" si="43"/>
        <v>0.22222222222222221</v>
      </c>
      <c r="CE87">
        <v>0.5</v>
      </c>
    </row>
    <row r="88" spans="1:83" x14ac:dyDescent="0.4">
      <c r="A88" t="s">
        <v>1035</v>
      </c>
      <c r="B88" t="s">
        <v>25</v>
      </c>
      <c r="C88" t="s">
        <v>82</v>
      </c>
      <c r="D88" t="s">
        <v>82</v>
      </c>
      <c r="E88" t="s">
        <v>59</v>
      </c>
      <c r="F88" t="s">
        <v>22</v>
      </c>
      <c r="G88">
        <v>70</v>
      </c>
      <c r="H88">
        <v>54</v>
      </c>
      <c r="I88">
        <v>27</v>
      </c>
      <c r="J88">
        <f t="shared" si="26"/>
        <v>43</v>
      </c>
      <c r="K88">
        <f t="shared" si="27"/>
        <v>27</v>
      </c>
      <c r="L88">
        <v>16</v>
      </c>
      <c r="M88">
        <v>27.15</v>
      </c>
      <c r="N88" t="s">
        <v>388</v>
      </c>
      <c r="O88" t="s">
        <v>389</v>
      </c>
      <c r="P88" t="s">
        <v>13</v>
      </c>
      <c r="Q88">
        <v>0.5</v>
      </c>
      <c r="R88" t="s">
        <v>13</v>
      </c>
      <c r="S88" t="s">
        <v>15</v>
      </c>
      <c r="T88" t="s">
        <v>14</v>
      </c>
      <c r="U88">
        <v>17.5</v>
      </c>
      <c r="V88" t="s">
        <v>17</v>
      </c>
      <c r="W88">
        <f t="shared" si="28"/>
        <v>1</v>
      </c>
      <c r="X88" t="s">
        <v>14</v>
      </c>
      <c r="Y88" t="s">
        <v>14</v>
      </c>
      <c r="Z88">
        <v>5</v>
      </c>
      <c r="AA88">
        <f t="shared" si="22"/>
        <v>4164.0586797066017</v>
      </c>
      <c r="AB88">
        <f t="shared" si="23"/>
        <v>84.841075794621034</v>
      </c>
      <c r="AC88">
        <f t="shared" si="24"/>
        <v>16.503667481662593</v>
      </c>
      <c r="AD88" t="s">
        <v>15</v>
      </c>
      <c r="AE88" t="s">
        <v>27</v>
      </c>
      <c r="AF88" t="s">
        <v>24</v>
      </c>
      <c r="AG88" t="s">
        <v>14</v>
      </c>
      <c r="AH88" t="s">
        <v>14</v>
      </c>
      <c r="AI88" t="s">
        <v>18</v>
      </c>
      <c r="AJ88" t="s">
        <v>14</v>
      </c>
      <c r="AK88" t="s">
        <v>14</v>
      </c>
      <c r="AL88" t="s">
        <v>14</v>
      </c>
      <c r="AM88">
        <f t="shared" si="25"/>
        <v>19.452449567723342</v>
      </c>
      <c r="AN88">
        <f t="shared" si="29"/>
        <v>4501.8731988472618</v>
      </c>
      <c r="AO88">
        <f t="shared" si="30"/>
        <v>1332.7089337175792</v>
      </c>
      <c r="AP88">
        <f t="shared" si="31"/>
        <v>1255.1873198847261</v>
      </c>
      <c r="AQ88">
        <f t="shared" si="32"/>
        <v>1646.3976945244956</v>
      </c>
      <c r="AR88">
        <f t="shared" si="33"/>
        <v>1913.9769452449566</v>
      </c>
      <c r="AS88">
        <f t="shared" si="34"/>
        <v>2.8117359413202934</v>
      </c>
      <c r="AT88">
        <f t="shared" si="35"/>
        <v>68.459657701711492</v>
      </c>
      <c r="AU88">
        <f t="shared" si="36"/>
        <v>21.835291105207567</v>
      </c>
      <c r="AV88">
        <f t="shared" si="37"/>
        <v>36.571391991806166</v>
      </c>
      <c r="AW88">
        <f t="shared" si="38"/>
        <v>27.881445443779405</v>
      </c>
      <c r="AX88">
        <f t="shared" si="39"/>
        <v>42.51512338763883</v>
      </c>
      <c r="AY88">
        <f t="shared" si="40"/>
        <v>2238.709677419356</v>
      </c>
      <c r="AZ88">
        <f t="shared" si="41"/>
        <v>982.99711815561955</v>
      </c>
      <c r="BA88">
        <f t="shared" si="42"/>
        <v>80.691642651296831</v>
      </c>
      <c r="BB88" t="s">
        <v>28</v>
      </c>
      <c r="BC88" t="s">
        <v>28</v>
      </c>
      <c r="BD88">
        <v>8.18</v>
      </c>
      <c r="BE88">
        <v>6.94</v>
      </c>
      <c r="BF88">
        <v>1.35</v>
      </c>
      <c r="BG88">
        <v>5.6</v>
      </c>
      <c r="BH88">
        <v>0.23</v>
      </c>
      <c r="BI88">
        <v>34062</v>
      </c>
      <c r="BJ88">
        <v>9249</v>
      </c>
      <c r="BK88">
        <v>11426</v>
      </c>
      <c r="BL88">
        <v>964</v>
      </c>
      <c r="BM88">
        <v>405</v>
      </c>
      <c r="BN88">
        <v>6822</v>
      </c>
      <c r="BO88">
        <v>520</v>
      </c>
      <c r="BP88">
        <v>1205</v>
      </c>
      <c r="BQ88">
        <v>652</v>
      </c>
      <c r="BR88">
        <v>2776</v>
      </c>
      <c r="BS88" t="s">
        <v>21</v>
      </c>
      <c r="BT88" t="s">
        <v>387</v>
      </c>
      <c r="BU88">
        <v>0</v>
      </c>
      <c r="BV88">
        <v>0</v>
      </c>
      <c r="BW88">
        <v>0.2</v>
      </c>
      <c r="BX88">
        <v>1.4</v>
      </c>
      <c r="BY88">
        <v>11.5</v>
      </c>
      <c r="BZ88">
        <v>11.8</v>
      </c>
      <c r="CA88">
        <v>4</v>
      </c>
      <c r="CB88">
        <v>4</v>
      </c>
      <c r="CC88">
        <v>0</v>
      </c>
      <c r="CD88">
        <f t="shared" si="43"/>
        <v>2.5423728813559365E-2</v>
      </c>
      <c r="CE88">
        <v>1</v>
      </c>
    </row>
    <row r="89" spans="1:83" x14ac:dyDescent="0.4">
      <c r="A89" t="s">
        <v>1036</v>
      </c>
      <c r="B89" t="s">
        <v>34</v>
      </c>
      <c r="C89" t="s">
        <v>34</v>
      </c>
      <c r="D89" t="s">
        <v>34</v>
      </c>
      <c r="E89" t="s">
        <v>59</v>
      </c>
      <c r="F89" t="s">
        <v>12</v>
      </c>
      <c r="G89">
        <v>80</v>
      </c>
      <c r="H89">
        <v>77</v>
      </c>
      <c r="I89">
        <v>58</v>
      </c>
      <c r="J89">
        <f t="shared" si="26"/>
        <v>22</v>
      </c>
      <c r="K89">
        <f t="shared" si="27"/>
        <v>19</v>
      </c>
      <c r="L89">
        <v>3</v>
      </c>
      <c r="M89">
        <v>57.79</v>
      </c>
      <c r="N89" t="s">
        <v>390</v>
      </c>
      <c r="O89" t="s">
        <v>391</v>
      </c>
      <c r="P89" t="s">
        <v>13</v>
      </c>
      <c r="Q89">
        <v>0.4</v>
      </c>
      <c r="R89" t="s">
        <v>26</v>
      </c>
      <c r="S89" t="s">
        <v>15</v>
      </c>
      <c r="T89" t="s">
        <v>14</v>
      </c>
      <c r="U89">
        <v>17.5</v>
      </c>
      <c r="V89" t="s">
        <v>17</v>
      </c>
      <c r="W89">
        <f t="shared" si="28"/>
        <v>1</v>
      </c>
      <c r="X89" t="s">
        <v>14</v>
      </c>
      <c r="Y89" t="s">
        <v>14</v>
      </c>
      <c r="Z89">
        <v>5</v>
      </c>
      <c r="AA89">
        <f t="shared" si="22"/>
        <v>5384.572784810126</v>
      </c>
      <c r="AB89">
        <f t="shared" si="23"/>
        <v>93.037974683544306</v>
      </c>
      <c r="AC89">
        <f t="shared" si="24"/>
        <v>50.632911392405063</v>
      </c>
      <c r="AD89" t="s">
        <v>15</v>
      </c>
      <c r="AE89" t="s">
        <v>15</v>
      </c>
      <c r="AF89" t="s">
        <v>18</v>
      </c>
      <c r="AG89" t="s">
        <v>14</v>
      </c>
      <c r="AH89" t="s">
        <v>14</v>
      </c>
      <c r="AI89" t="s">
        <v>18</v>
      </c>
      <c r="AJ89" t="s">
        <v>14</v>
      </c>
      <c r="AK89" t="s">
        <v>14</v>
      </c>
      <c r="AL89" t="s">
        <v>14</v>
      </c>
      <c r="AM89">
        <f t="shared" si="25"/>
        <v>54.421768707482997</v>
      </c>
      <c r="AN89">
        <f t="shared" si="29"/>
        <v>5671.7687074829937</v>
      </c>
      <c r="AO89">
        <f t="shared" si="30"/>
        <v>3344.7278911564626</v>
      </c>
      <c r="AP89">
        <f t="shared" si="31"/>
        <v>691.32653061224494</v>
      </c>
      <c r="AQ89">
        <f t="shared" si="32"/>
        <v>1367.9421768707484</v>
      </c>
      <c r="AR89">
        <f t="shared" si="33"/>
        <v>1635.7142857142858</v>
      </c>
      <c r="AS89">
        <f t="shared" si="34"/>
        <v>2.2943037974683542</v>
      </c>
      <c r="AT89">
        <f t="shared" si="35"/>
        <v>42.405063291139236</v>
      </c>
      <c r="AU89">
        <f t="shared" si="36"/>
        <v>8.1454272863568224</v>
      </c>
      <c r="AV89">
        <f t="shared" si="37"/>
        <v>24.118440779610197</v>
      </c>
      <c r="AW89">
        <f t="shared" si="38"/>
        <v>12.188905547226387</v>
      </c>
      <c r="AX89">
        <f t="shared" si="39"/>
        <v>28.839580209895054</v>
      </c>
      <c r="AY89">
        <f t="shared" si="40"/>
        <v>1504.5454545454531</v>
      </c>
      <c r="AZ89">
        <f t="shared" si="41"/>
        <v>461.98979591836735</v>
      </c>
      <c r="BA89">
        <f t="shared" si="42"/>
        <v>45.57823129251701</v>
      </c>
      <c r="BB89" t="s">
        <v>16</v>
      </c>
      <c r="BC89" t="s">
        <v>16</v>
      </c>
      <c r="BD89">
        <v>12.64</v>
      </c>
      <c r="BE89">
        <v>11.76</v>
      </c>
      <c r="BF89">
        <v>6.4</v>
      </c>
      <c r="BG89">
        <v>5.36</v>
      </c>
      <c r="BH89">
        <v>0.28999999999999998</v>
      </c>
      <c r="BI89">
        <v>68061</v>
      </c>
      <c r="BJ89">
        <v>39334</v>
      </c>
      <c r="BK89">
        <v>16087</v>
      </c>
      <c r="BL89">
        <v>1254</v>
      </c>
      <c r="BM89">
        <v>246</v>
      </c>
      <c r="BN89">
        <v>5433</v>
      </c>
      <c r="BO89">
        <v>1197</v>
      </c>
      <c r="BP89">
        <v>2385</v>
      </c>
      <c r="BQ89">
        <v>764</v>
      </c>
      <c r="BR89">
        <v>1324</v>
      </c>
      <c r="BS89" t="s">
        <v>21</v>
      </c>
      <c r="BT89" t="s">
        <v>263</v>
      </c>
      <c r="BU89">
        <v>0</v>
      </c>
      <c r="BV89">
        <v>0</v>
      </c>
      <c r="BW89">
        <v>0</v>
      </c>
      <c r="BX89">
        <v>11.1</v>
      </c>
      <c r="BY89">
        <v>13.9</v>
      </c>
      <c r="BZ89">
        <v>15.7</v>
      </c>
      <c r="CA89">
        <v>1</v>
      </c>
      <c r="CB89">
        <v>1</v>
      </c>
      <c r="CC89">
        <v>0</v>
      </c>
      <c r="CD89">
        <f t="shared" si="43"/>
        <v>0.11464968152866239</v>
      </c>
      <c r="CE89">
        <v>1</v>
      </c>
    </row>
    <row r="90" spans="1:83" x14ac:dyDescent="0.4">
      <c r="A90" t="s">
        <v>1037</v>
      </c>
      <c r="B90" t="s">
        <v>59</v>
      </c>
      <c r="C90" t="s">
        <v>73</v>
      </c>
      <c r="D90" t="s">
        <v>82</v>
      </c>
      <c r="E90" t="s">
        <v>59</v>
      </c>
      <c r="F90" t="s">
        <v>22</v>
      </c>
      <c r="G90">
        <v>25</v>
      </c>
      <c r="H90">
        <v>40</v>
      </c>
      <c r="I90">
        <v>30.5</v>
      </c>
      <c r="J90">
        <f t="shared" si="26"/>
        <v>-5.5</v>
      </c>
      <c r="K90">
        <f t="shared" si="27"/>
        <v>9.5</v>
      </c>
      <c r="L90">
        <v>-15</v>
      </c>
      <c r="M90">
        <v>30.29</v>
      </c>
      <c r="N90" t="s">
        <v>392</v>
      </c>
      <c r="O90" t="s">
        <v>393</v>
      </c>
      <c r="P90" t="s">
        <v>13</v>
      </c>
      <c r="Q90">
        <v>0</v>
      </c>
      <c r="R90" t="s">
        <v>26</v>
      </c>
      <c r="S90" t="s">
        <v>15</v>
      </c>
      <c r="T90" t="s">
        <v>14</v>
      </c>
      <c r="U90">
        <v>22.5</v>
      </c>
      <c r="V90" t="s">
        <v>17</v>
      </c>
      <c r="W90">
        <f t="shared" si="28"/>
        <v>1</v>
      </c>
      <c r="X90" t="s">
        <v>14</v>
      </c>
      <c r="Y90" t="s">
        <v>14</v>
      </c>
      <c r="Z90">
        <v>15</v>
      </c>
      <c r="AA90">
        <f t="shared" si="22"/>
        <v>6335.7923497267757</v>
      </c>
      <c r="AB90">
        <f t="shared" si="23"/>
        <v>88.52459016393442</v>
      </c>
      <c r="AC90">
        <f t="shared" si="24"/>
        <v>33.606557377049178</v>
      </c>
      <c r="AD90" t="s">
        <v>15</v>
      </c>
      <c r="AE90" t="s">
        <v>15</v>
      </c>
      <c r="AF90" t="s">
        <v>18</v>
      </c>
      <c r="AG90" t="s">
        <v>14</v>
      </c>
      <c r="AH90" t="s">
        <v>14</v>
      </c>
      <c r="AI90" t="s">
        <v>18</v>
      </c>
      <c r="AJ90" t="s">
        <v>14</v>
      </c>
      <c r="AK90" t="s">
        <v>14</v>
      </c>
      <c r="AL90" t="s">
        <v>14</v>
      </c>
      <c r="AM90">
        <f t="shared" si="25"/>
        <v>37.962962962962962</v>
      </c>
      <c r="AN90">
        <f t="shared" si="29"/>
        <v>6625.6172839506171</v>
      </c>
      <c r="AO90">
        <f t="shared" si="30"/>
        <v>2167.9012345679012</v>
      </c>
      <c r="AP90">
        <f t="shared" si="31"/>
        <v>1675</v>
      </c>
      <c r="AQ90">
        <f t="shared" si="32"/>
        <v>2506.7901234567898</v>
      </c>
      <c r="AR90">
        <f t="shared" si="33"/>
        <v>2782.7160493827159</v>
      </c>
      <c r="AS90">
        <f t="shared" si="34"/>
        <v>0</v>
      </c>
      <c r="AT90">
        <f t="shared" si="35"/>
        <v>55.191256830601091</v>
      </c>
      <c r="AU90">
        <f t="shared" si="36"/>
        <v>20.650300461172964</v>
      </c>
      <c r="AV90">
        <f t="shared" si="37"/>
        <v>37.834816229561653</v>
      </c>
      <c r="AW90">
        <f t="shared" si="38"/>
        <v>25.280663343736897</v>
      </c>
      <c r="AX90">
        <f t="shared" si="39"/>
        <v>41.999347836213722</v>
      </c>
      <c r="AY90">
        <f t="shared" si="40"/>
        <v>4000.0000000000005</v>
      </c>
      <c r="AZ90">
        <f t="shared" si="41"/>
        <v>1368.2098765432097</v>
      </c>
      <c r="BA90">
        <f t="shared" si="42"/>
        <v>62.345679012345677</v>
      </c>
      <c r="BB90" t="s">
        <v>16</v>
      </c>
      <c r="BC90" t="s">
        <v>16</v>
      </c>
      <c r="BD90">
        <v>3.66</v>
      </c>
      <c r="BE90">
        <v>3.24</v>
      </c>
      <c r="BF90">
        <v>1.23</v>
      </c>
      <c r="BG90">
        <v>2.02</v>
      </c>
      <c r="BH90">
        <v>0</v>
      </c>
      <c r="BI90">
        <v>23189</v>
      </c>
      <c r="BJ90">
        <v>7024</v>
      </c>
      <c r="BK90">
        <v>8122</v>
      </c>
      <c r="BL90">
        <v>392</v>
      </c>
      <c r="BM90">
        <v>467</v>
      </c>
      <c r="BN90">
        <v>4433</v>
      </c>
      <c r="BO90">
        <v>135</v>
      </c>
      <c r="BP90">
        <v>411</v>
      </c>
      <c r="BQ90">
        <v>483</v>
      </c>
      <c r="BR90">
        <v>1680</v>
      </c>
      <c r="BS90" t="s">
        <v>21</v>
      </c>
      <c r="BT90" t="s">
        <v>165</v>
      </c>
      <c r="BU90">
        <v>0</v>
      </c>
      <c r="BV90">
        <v>0</v>
      </c>
      <c r="BW90">
        <v>0</v>
      </c>
      <c r="BX90">
        <v>28.4</v>
      </c>
      <c r="BY90">
        <v>3.3</v>
      </c>
      <c r="BZ90">
        <v>4.5999999999999996</v>
      </c>
      <c r="CA90">
        <v>1</v>
      </c>
      <c r="CB90">
        <v>1</v>
      </c>
      <c r="CC90">
        <v>0</v>
      </c>
      <c r="CD90">
        <f t="shared" si="43"/>
        <v>0.28260869565217395</v>
      </c>
      <c r="CE90">
        <v>1</v>
      </c>
    </row>
    <row r="91" spans="1:83" x14ac:dyDescent="0.4">
      <c r="A91" t="s">
        <v>1038</v>
      </c>
      <c r="B91" t="s">
        <v>19</v>
      </c>
      <c r="C91" t="s">
        <v>19</v>
      </c>
      <c r="D91" t="s">
        <v>19</v>
      </c>
      <c r="E91" t="s">
        <v>59</v>
      </c>
      <c r="F91" t="s">
        <v>32</v>
      </c>
      <c r="G91">
        <v>70</v>
      </c>
      <c r="H91">
        <v>82</v>
      </c>
      <c r="I91">
        <v>90</v>
      </c>
      <c r="J91">
        <f t="shared" si="26"/>
        <v>-20</v>
      </c>
      <c r="K91">
        <f t="shared" si="27"/>
        <v>-8</v>
      </c>
      <c r="L91">
        <v>-12</v>
      </c>
      <c r="M91">
        <v>90.17</v>
      </c>
      <c r="N91" t="s">
        <v>396</v>
      </c>
      <c r="O91" t="s">
        <v>397</v>
      </c>
      <c r="P91" t="s">
        <v>13</v>
      </c>
      <c r="Q91">
        <v>0</v>
      </c>
      <c r="R91" t="s">
        <v>13</v>
      </c>
      <c r="S91" t="s">
        <v>15</v>
      </c>
      <c r="T91" t="s">
        <v>14</v>
      </c>
      <c r="U91">
        <v>2.5</v>
      </c>
      <c r="V91" t="s">
        <v>14</v>
      </c>
      <c r="W91">
        <v>0</v>
      </c>
      <c r="X91" t="s">
        <v>14</v>
      </c>
      <c r="Y91" t="s">
        <v>14</v>
      </c>
      <c r="Z91">
        <v>0</v>
      </c>
      <c r="AA91">
        <f t="shared" si="22"/>
        <v>1600.8968609865472</v>
      </c>
      <c r="AB91">
        <f t="shared" si="23"/>
        <v>35.426008968609864</v>
      </c>
      <c r="AC91">
        <f t="shared" si="24"/>
        <v>34.977578475336323</v>
      </c>
      <c r="AD91" t="s">
        <v>15</v>
      </c>
      <c r="AE91" t="s">
        <v>15</v>
      </c>
      <c r="AF91" t="s">
        <v>18</v>
      </c>
      <c r="AG91" t="s">
        <v>14</v>
      </c>
      <c r="AH91" t="s">
        <v>14</v>
      </c>
      <c r="AI91" t="s">
        <v>14</v>
      </c>
      <c r="AJ91" t="s">
        <v>14</v>
      </c>
      <c r="AK91" t="s">
        <v>14</v>
      </c>
      <c r="AL91" t="s">
        <v>14</v>
      </c>
      <c r="AM91">
        <f t="shared" si="25"/>
        <v>98.734177215189874</v>
      </c>
      <c r="AN91">
        <f t="shared" si="29"/>
        <v>4332.9113924050635</v>
      </c>
      <c r="AO91">
        <f t="shared" si="30"/>
        <v>4074.6835443037971</v>
      </c>
      <c r="AP91">
        <f t="shared" si="31"/>
        <v>183.54430379746836</v>
      </c>
      <c r="AQ91">
        <f t="shared" si="32"/>
        <v>45.569620253164558</v>
      </c>
      <c r="AR91">
        <f t="shared" si="33"/>
        <v>74.683544303797461</v>
      </c>
      <c r="AS91">
        <f t="shared" si="34"/>
        <v>53.811659192825111</v>
      </c>
      <c r="AT91">
        <f t="shared" si="35"/>
        <v>0.44843049327354262</v>
      </c>
      <c r="AU91">
        <f t="shared" si="36"/>
        <v>2.3079170318434121</v>
      </c>
      <c r="AV91">
        <f t="shared" si="37"/>
        <v>1.0517090271691498</v>
      </c>
      <c r="AW91">
        <f t="shared" si="38"/>
        <v>4.2360502483201872</v>
      </c>
      <c r="AX91">
        <f t="shared" si="39"/>
        <v>1.7236342389716623</v>
      </c>
      <c r="AY91">
        <f t="shared" si="40"/>
        <v>102.08333333333334</v>
      </c>
      <c r="AZ91">
        <f t="shared" si="41"/>
        <v>100</v>
      </c>
      <c r="BA91">
        <f t="shared" si="42"/>
        <v>1.2658227848101264</v>
      </c>
      <c r="BB91" t="s">
        <v>33</v>
      </c>
      <c r="BC91" t="s">
        <v>33</v>
      </c>
      <c r="BD91">
        <v>2.23</v>
      </c>
      <c r="BE91">
        <v>0.79</v>
      </c>
      <c r="BF91">
        <v>0.78</v>
      </c>
      <c r="BG91">
        <v>0.01</v>
      </c>
      <c r="BH91">
        <v>1.2</v>
      </c>
      <c r="BI91">
        <v>3570</v>
      </c>
      <c r="BJ91">
        <v>3219</v>
      </c>
      <c r="BK91">
        <v>36</v>
      </c>
      <c r="BL91">
        <v>61</v>
      </c>
      <c r="BM91">
        <v>0</v>
      </c>
      <c r="BN91">
        <v>79</v>
      </c>
      <c r="BO91">
        <v>5</v>
      </c>
      <c r="BP91">
        <v>9</v>
      </c>
      <c r="BQ91">
        <v>14</v>
      </c>
      <c r="BR91">
        <v>147</v>
      </c>
      <c r="BS91" t="s">
        <v>21</v>
      </c>
      <c r="BT91" t="s">
        <v>305</v>
      </c>
      <c r="BU91">
        <v>0</v>
      </c>
      <c r="BV91">
        <v>0</v>
      </c>
      <c r="BW91">
        <v>0</v>
      </c>
      <c r="BX91">
        <v>0</v>
      </c>
      <c r="BY91">
        <v>43</v>
      </c>
      <c r="BZ91">
        <v>43</v>
      </c>
      <c r="CA91">
        <v>0</v>
      </c>
      <c r="CB91">
        <v>0</v>
      </c>
      <c r="CC91">
        <v>0</v>
      </c>
      <c r="CD91">
        <f t="shared" si="43"/>
        <v>0</v>
      </c>
      <c r="CE91">
        <v>0</v>
      </c>
    </row>
    <row r="92" spans="1:83" x14ac:dyDescent="0.4">
      <c r="A92" t="s">
        <v>1039</v>
      </c>
      <c r="B92" t="s">
        <v>59</v>
      </c>
      <c r="C92" t="s">
        <v>73</v>
      </c>
      <c r="D92" t="s">
        <v>82</v>
      </c>
      <c r="E92" t="s">
        <v>59</v>
      </c>
      <c r="F92" t="s">
        <v>22</v>
      </c>
      <c r="G92">
        <v>70</v>
      </c>
      <c r="H92">
        <v>52</v>
      </c>
      <c r="I92">
        <v>35.5</v>
      </c>
      <c r="J92">
        <f t="shared" si="26"/>
        <v>34.5</v>
      </c>
      <c r="K92">
        <f t="shared" si="27"/>
        <v>16.5</v>
      </c>
      <c r="L92">
        <v>18</v>
      </c>
      <c r="M92">
        <v>35.35</v>
      </c>
      <c r="N92" t="s">
        <v>399</v>
      </c>
      <c r="O92" t="s">
        <v>400</v>
      </c>
      <c r="P92" t="s">
        <v>13</v>
      </c>
      <c r="Q92">
        <v>0</v>
      </c>
      <c r="R92" t="s">
        <v>13</v>
      </c>
      <c r="S92" t="s">
        <v>15</v>
      </c>
      <c r="T92" t="s">
        <v>14</v>
      </c>
      <c r="U92">
        <v>2.5</v>
      </c>
      <c r="V92" t="s">
        <v>14</v>
      </c>
      <c r="W92">
        <f t="shared" si="28"/>
        <v>1</v>
      </c>
      <c r="X92" t="s">
        <v>14</v>
      </c>
      <c r="Y92" t="s">
        <v>14</v>
      </c>
      <c r="Z92">
        <v>0</v>
      </c>
      <c r="AA92">
        <f t="shared" si="22"/>
        <v>2159.3008739076154</v>
      </c>
      <c r="AB92">
        <f t="shared" si="23"/>
        <v>56.304619225967542</v>
      </c>
      <c r="AC92">
        <f t="shared" si="24"/>
        <v>19.101123595505619</v>
      </c>
      <c r="AD92" t="s">
        <v>15</v>
      </c>
      <c r="AE92" t="s">
        <v>15</v>
      </c>
      <c r="AF92" t="s">
        <v>24</v>
      </c>
      <c r="AG92" t="s">
        <v>14</v>
      </c>
      <c r="AH92" t="s">
        <v>14</v>
      </c>
      <c r="AI92" t="s">
        <v>14</v>
      </c>
      <c r="AJ92" t="s">
        <v>14</v>
      </c>
      <c r="AK92" t="s">
        <v>14</v>
      </c>
      <c r="AL92" t="s">
        <v>14</v>
      </c>
      <c r="AM92">
        <f t="shared" si="25"/>
        <v>33.924611973392466</v>
      </c>
      <c r="AN92">
        <f t="shared" si="29"/>
        <v>2650.9977827050998</v>
      </c>
      <c r="AO92">
        <f t="shared" si="30"/>
        <v>1355.6541019955655</v>
      </c>
      <c r="AP92">
        <f t="shared" si="31"/>
        <v>274.94456762749445</v>
      </c>
      <c r="AQ92">
        <f t="shared" si="32"/>
        <v>756.31929046563198</v>
      </c>
      <c r="AR92">
        <f t="shared" si="33"/>
        <v>1020.39911308204</v>
      </c>
      <c r="AS92">
        <f t="shared" si="34"/>
        <v>0.12484394506866417</v>
      </c>
      <c r="AT92">
        <f t="shared" si="35"/>
        <v>37.203495630461923</v>
      </c>
      <c r="AU92">
        <f t="shared" si="36"/>
        <v>7.577785212445634</v>
      </c>
      <c r="AV92">
        <f t="shared" si="37"/>
        <v>28.529608564737369</v>
      </c>
      <c r="AW92">
        <f t="shared" si="38"/>
        <v>10.371361659417866</v>
      </c>
      <c r="AX92">
        <f t="shared" si="39"/>
        <v>38.491134158581467</v>
      </c>
      <c r="AY92">
        <f t="shared" si="40"/>
        <v>1524.8571428571429</v>
      </c>
      <c r="AZ92">
        <f t="shared" si="41"/>
        <v>200.88691796008871</v>
      </c>
      <c r="BA92">
        <f t="shared" si="42"/>
        <v>66.075388026607541</v>
      </c>
      <c r="BB92" t="s">
        <v>28</v>
      </c>
      <c r="BC92" t="s">
        <v>28</v>
      </c>
      <c r="BD92">
        <v>8.01</v>
      </c>
      <c r="BE92">
        <v>4.51</v>
      </c>
      <c r="BF92">
        <v>1.53</v>
      </c>
      <c r="BG92">
        <v>2.98</v>
      </c>
      <c r="BH92">
        <v>0.01</v>
      </c>
      <c r="BI92">
        <v>17296</v>
      </c>
      <c r="BJ92">
        <v>6114</v>
      </c>
      <c r="BK92">
        <v>3411</v>
      </c>
      <c r="BL92">
        <v>254</v>
      </c>
      <c r="BM92">
        <v>42</v>
      </c>
      <c r="BN92">
        <v>906</v>
      </c>
      <c r="BO92">
        <v>38</v>
      </c>
      <c r="BP92">
        <v>419</v>
      </c>
      <c r="BQ92">
        <v>772</v>
      </c>
      <c r="BR92">
        <v>5337</v>
      </c>
      <c r="BS92" t="s">
        <v>21</v>
      </c>
      <c r="BT92" t="s">
        <v>135</v>
      </c>
      <c r="BU92">
        <v>0</v>
      </c>
      <c r="BV92">
        <v>0</v>
      </c>
      <c r="BW92">
        <v>0</v>
      </c>
      <c r="BX92">
        <v>0</v>
      </c>
      <c r="BY92">
        <v>9.6</v>
      </c>
      <c r="BZ92">
        <v>9.6</v>
      </c>
      <c r="CA92">
        <v>4</v>
      </c>
      <c r="CB92">
        <v>4</v>
      </c>
      <c r="CC92">
        <v>0</v>
      </c>
      <c r="CD92">
        <f t="shared" si="43"/>
        <v>0</v>
      </c>
      <c r="CE92">
        <v>1</v>
      </c>
    </row>
    <row r="93" spans="1:83" x14ac:dyDescent="0.4">
      <c r="A93" t="s">
        <v>1040</v>
      </c>
      <c r="B93" t="s">
        <v>19</v>
      </c>
      <c r="C93" t="s">
        <v>19</v>
      </c>
      <c r="D93" t="s">
        <v>19</v>
      </c>
      <c r="E93" t="s">
        <v>59</v>
      </c>
      <c r="F93" t="s">
        <v>22</v>
      </c>
      <c r="G93">
        <v>50</v>
      </c>
      <c r="H93">
        <v>60</v>
      </c>
      <c r="I93">
        <v>74</v>
      </c>
      <c r="J93">
        <f t="shared" si="26"/>
        <v>-24</v>
      </c>
      <c r="K93">
        <f t="shared" si="27"/>
        <v>-14</v>
      </c>
      <c r="L93">
        <v>-10</v>
      </c>
      <c r="M93">
        <v>73.87</v>
      </c>
      <c r="N93" t="s">
        <v>401</v>
      </c>
      <c r="O93" t="s">
        <v>402</v>
      </c>
      <c r="P93" t="s">
        <v>13</v>
      </c>
      <c r="Q93">
        <v>0.2</v>
      </c>
      <c r="R93" t="s">
        <v>13</v>
      </c>
      <c r="S93" t="s">
        <v>15</v>
      </c>
      <c r="T93" t="s">
        <v>14</v>
      </c>
      <c r="U93">
        <v>7.5</v>
      </c>
      <c r="V93" t="s">
        <v>14</v>
      </c>
      <c r="W93">
        <f t="shared" si="28"/>
        <v>0.7142857142857143</v>
      </c>
      <c r="X93" t="s">
        <v>14</v>
      </c>
      <c r="Y93" t="s">
        <v>14</v>
      </c>
      <c r="Z93">
        <v>0</v>
      </c>
      <c r="AA93">
        <f t="shared" si="22"/>
        <v>4460.6774668630342</v>
      </c>
      <c r="AB93">
        <f t="shared" si="23"/>
        <v>85.714285714285708</v>
      </c>
      <c r="AC93">
        <f t="shared" si="24"/>
        <v>52.430044182621501</v>
      </c>
      <c r="AD93" t="s">
        <v>15</v>
      </c>
      <c r="AE93" t="s">
        <v>27</v>
      </c>
      <c r="AF93" t="s">
        <v>18</v>
      </c>
      <c r="AG93" t="s">
        <v>14</v>
      </c>
      <c r="AH93" t="s">
        <v>14</v>
      </c>
      <c r="AI93" t="s">
        <v>14</v>
      </c>
      <c r="AJ93" t="s">
        <v>14</v>
      </c>
      <c r="AK93" t="s">
        <v>14</v>
      </c>
      <c r="AL93" t="s">
        <v>14</v>
      </c>
      <c r="AM93">
        <f t="shared" si="25"/>
        <v>61.168384879725082</v>
      </c>
      <c r="AN93">
        <f t="shared" si="29"/>
        <v>4851.5463917525767</v>
      </c>
      <c r="AO93">
        <f t="shared" si="30"/>
        <v>3844.5017182130582</v>
      </c>
      <c r="AP93">
        <f t="shared" si="31"/>
        <v>308.76288659793812</v>
      </c>
      <c r="AQ93">
        <f t="shared" si="32"/>
        <v>580.2405498281787</v>
      </c>
      <c r="AR93">
        <f t="shared" si="33"/>
        <v>698.28178694158078</v>
      </c>
      <c r="AS93">
        <f t="shared" si="34"/>
        <v>1.7673048600883652</v>
      </c>
      <c r="AT93">
        <f t="shared" si="35"/>
        <v>33.284241531664208</v>
      </c>
      <c r="AU93">
        <f t="shared" si="36"/>
        <v>4.033857486896161</v>
      </c>
      <c r="AV93">
        <f t="shared" si="37"/>
        <v>11.959909335599944</v>
      </c>
      <c r="AW93">
        <f t="shared" si="38"/>
        <v>6.3642158946026353</v>
      </c>
      <c r="AX93">
        <f t="shared" si="39"/>
        <v>14.392973508995608</v>
      </c>
      <c r="AY93">
        <f t="shared" si="40"/>
        <v>2104.1237113402067</v>
      </c>
      <c r="AZ93">
        <f t="shared" si="41"/>
        <v>195.70446735395188</v>
      </c>
      <c r="BA93">
        <f t="shared" si="42"/>
        <v>38.831615120274904</v>
      </c>
      <c r="BB93" t="s">
        <v>50</v>
      </c>
      <c r="BC93" t="s">
        <v>29</v>
      </c>
      <c r="BD93">
        <v>6.79</v>
      </c>
      <c r="BE93">
        <v>5.82</v>
      </c>
      <c r="BF93">
        <v>3.56</v>
      </c>
      <c r="BG93">
        <v>2.2599999999999998</v>
      </c>
      <c r="BH93">
        <v>0.12</v>
      </c>
      <c r="BI93">
        <v>30288</v>
      </c>
      <c r="BJ93">
        <v>22375</v>
      </c>
      <c r="BK93">
        <v>3377</v>
      </c>
      <c r="BL93">
        <v>385</v>
      </c>
      <c r="BM93">
        <v>107</v>
      </c>
      <c r="BN93">
        <v>1139</v>
      </c>
      <c r="BO93">
        <v>166</v>
      </c>
      <c r="BP93">
        <v>459</v>
      </c>
      <c r="BQ93">
        <v>228</v>
      </c>
      <c r="BR93">
        <v>2041</v>
      </c>
      <c r="BS93" t="s">
        <v>21</v>
      </c>
      <c r="BT93" t="s">
        <v>263</v>
      </c>
      <c r="BU93">
        <v>0</v>
      </c>
      <c r="BV93">
        <v>0</v>
      </c>
      <c r="BW93">
        <v>0</v>
      </c>
      <c r="BX93">
        <v>0.5</v>
      </c>
      <c r="BY93">
        <v>7.4</v>
      </c>
      <c r="BZ93">
        <v>7.4</v>
      </c>
      <c r="CA93">
        <v>7</v>
      </c>
      <c r="CB93">
        <v>5</v>
      </c>
      <c r="CC93">
        <v>0</v>
      </c>
      <c r="CD93">
        <f t="shared" si="43"/>
        <v>0</v>
      </c>
      <c r="CE93">
        <v>0.7142857142857143</v>
      </c>
    </row>
    <row r="94" spans="1:83" x14ac:dyDescent="0.4">
      <c r="A94" t="s">
        <v>1041</v>
      </c>
      <c r="B94" t="s">
        <v>59</v>
      </c>
      <c r="C94" t="s">
        <v>73</v>
      </c>
      <c r="D94" t="s">
        <v>82</v>
      </c>
      <c r="E94" t="s">
        <v>59</v>
      </c>
      <c r="F94" t="s">
        <v>12</v>
      </c>
      <c r="G94">
        <v>50</v>
      </c>
      <c r="H94">
        <v>65</v>
      </c>
      <c r="I94">
        <v>38</v>
      </c>
      <c r="J94">
        <f t="shared" si="26"/>
        <v>12</v>
      </c>
      <c r="K94">
        <f t="shared" si="27"/>
        <v>27</v>
      </c>
      <c r="L94">
        <v>-15</v>
      </c>
      <c r="M94">
        <v>37.85</v>
      </c>
      <c r="N94" t="s">
        <v>404</v>
      </c>
      <c r="O94" t="s">
        <v>405</v>
      </c>
      <c r="P94" t="s">
        <v>13</v>
      </c>
      <c r="Q94">
        <v>0.8</v>
      </c>
      <c r="R94" t="s">
        <v>26</v>
      </c>
      <c r="S94" t="s">
        <v>27</v>
      </c>
      <c r="T94" t="s">
        <v>14</v>
      </c>
      <c r="U94">
        <v>7.5</v>
      </c>
      <c r="V94" t="s">
        <v>14</v>
      </c>
      <c r="W94">
        <f t="shared" si="28"/>
        <v>0.8571428571428571</v>
      </c>
      <c r="X94" t="s">
        <v>14</v>
      </c>
      <c r="Y94" t="s">
        <v>17</v>
      </c>
      <c r="Z94">
        <v>0</v>
      </c>
      <c r="AA94">
        <f t="shared" si="22"/>
        <v>5774.6640526079318</v>
      </c>
      <c r="AB94">
        <f t="shared" si="23"/>
        <v>69.750439080178083</v>
      </c>
      <c r="AC94">
        <f t="shared" si="24"/>
        <v>38.745251807376548</v>
      </c>
      <c r="AD94" t="s">
        <v>15</v>
      </c>
      <c r="AE94" t="s">
        <v>27</v>
      </c>
      <c r="AF94" t="s">
        <v>18</v>
      </c>
      <c r="AG94" t="s">
        <v>14</v>
      </c>
      <c r="AH94" t="s">
        <v>17</v>
      </c>
      <c r="AI94" t="s">
        <v>41</v>
      </c>
      <c r="AJ94" t="s">
        <v>14</v>
      </c>
      <c r="AK94" t="s">
        <v>14</v>
      </c>
      <c r="AL94" t="s">
        <v>17</v>
      </c>
      <c r="AM94">
        <f t="shared" si="25"/>
        <v>55.548398430637697</v>
      </c>
      <c r="AN94">
        <f t="shared" si="29"/>
        <v>6700.0468466358252</v>
      </c>
      <c r="AO94">
        <f t="shared" si="30"/>
        <v>3133.7939919189553</v>
      </c>
      <c r="AP94">
        <f t="shared" si="31"/>
        <v>1410.7454470925807</v>
      </c>
      <c r="AQ94">
        <f t="shared" si="32"/>
        <v>1779.2820753059671</v>
      </c>
      <c r="AR94">
        <f t="shared" si="33"/>
        <v>2155.50740762429</v>
      </c>
      <c r="AS94">
        <f t="shared" si="34"/>
        <v>0.60041661561083193</v>
      </c>
      <c r="AT94">
        <f t="shared" si="35"/>
        <v>31.005187272801535</v>
      </c>
      <c r="AU94">
        <f t="shared" si="36"/>
        <v>15.678480501535178</v>
      </c>
      <c r="AV94">
        <f t="shared" si="37"/>
        <v>26.55626320283665</v>
      </c>
      <c r="AW94">
        <f t="shared" si="38"/>
        <v>21.055754972831764</v>
      </c>
      <c r="AX94">
        <f t="shared" si="39"/>
        <v>32.171527408149338</v>
      </c>
      <c r="AY94">
        <f t="shared" si="40"/>
        <v>3632.9732649203347</v>
      </c>
      <c r="AZ94">
        <f t="shared" si="41"/>
        <v>1050.4655384435205</v>
      </c>
      <c r="BA94">
        <f t="shared" si="42"/>
        <v>44.451601569362296</v>
      </c>
      <c r="BB94" t="s">
        <v>58</v>
      </c>
      <c r="BC94" t="s">
        <v>61</v>
      </c>
      <c r="BD94">
        <v>244.83</v>
      </c>
      <c r="BE94">
        <v>170.77</v>
      </c>
      <c r="BF94">
        <v>94.86</v>
      </c>
      <c r="BG94">
        <v>75.91</v>
      </c>
      <c r="BH94">
        <v>1.47</v>
      </c>
      <c r="BI94">
        <v>1413811</v>
      </c>
      <c r="BJ94">
        <v>535158</v>
      </c>
      <c r="BK94">
        <v>303848</v>
      </c>
      <c r="BL94">
        <v>46238</v>
      </c>
      <c r="BM94">
        <v>10153</v>
      </c>
      <c r="BN94">
        <v>179388</v>
      </c>
      <c r="BO94">
        <v>5134</v>
      </c>
      <c r="BP94">
        <v>51612</v>
      </c>
      <c r="BQ94">
        <v>12636</v>
      </c>
      <c r="BR94">
        <v>269058</v>
      </c>
      <c r="BS94" t="s">
        <v>21</v>
      </c>
      <c r="BT94" t="s">
        <v>403</v>
      </c>
      <c r="BU94">
        <v>2.1</v>
      </c>
      <c r="BV94">
        <v>2.2999999999999998</v>
      </c>
      <c r="BW94">
        <v>0.1</v>
      </c>
      <c r="BX94">
        <v>1.3</v>
      </c>
      <c r="BY94">
        <v>278.5</v>
      </c>
      <c r="BZ94">
        <v>298</v>
      </c>
      <c r="CA94">
        <v>10</v>
      </c>
      <c r="CB94">
        <v>10</v>
      </c>
      <c r="CC94">
        <v>0</v>
      </c>
      <c r="CD94">
        <f t="shared" si="43"/>
        <v>6.5436241610738244E-2</v>
      </c>
      <c r="CE94">
        <v>1</v>
      </c>
    </row>
    <row r="95" spans="1:83" x14ac:dyDescent="0.4">
      <c r="A95" t="s">
        <v>1042</v>
      </c>
      <c r="B95" t="s">
        <v>42</v>
      </c>
      <c r="C95" t="s">
        <v>82</v>
      </c>
      <c r="D95" t="s">
        <v>82</v>
      </c>
      <c r="E95" t="s">
        <v>59</v>
      </c>
      <c r="F95" t="s">
        <v>12</v>
      </c>
      <c r="G95">
        <v>40</v>
      </c>
      <c r="H95">
        <v>64</v>
      </c>
      <c r="I95">
        <v>50</v>
      </c>
      <c r="J95">
        <f t="shared" si="26"/>
        <v>-10</v>
      </c>
      <c r="K95">
        <f t="shared" si="27"/>
        <v>14</v>
      </c>
      <c r="L95">
        <v>-24</v>
      </c>
      <c r="M95">
        <v>49.82</v>
      </c>
      <c r="N95" t="s">
        <v>407</v>
      </c>
      <c r="O95" t="s">
        <v>408</v>
      </c>
      <c r="P95" t="s">
        <v>13</v>
      </c>
      <c r="Q95">
        <v>0.5</v>
      </c>
      <c r="R95" t="s">
        <v>26</v>
      </c>
      <c r="S95" t="s">
        <v>15</v>
      </c>
      <c r="T95" t="s">
        <v>14</v>
      </c>
      <c r="U95">
        <v>5</v>
      </c>
      <c r="V95" t="s">
        <v>14</v>
      </c>
      <c r="W95">
        <f t="shared" si="28"/>
        <v>1</v>
      </c>
      <c r="X95" t="s">
        <v>14</v>
      </c>
      <c r="Y95" t="s">
        <v>14</v>
      </c>
      <c r="Z95">
        <v>5</v>
      </c>
      <c r="AA95">
        <f t="shared" si="22"/>
        <v>4955.5876685934481</v>
      </c>
      <c r="AB95">
        <f t="shared" si="23"/>
        <v>69.171483622350664</v>
      </c>
      <c r="AC95">
        <f t="shared" si="24"/>
        <v>44.460500963391134</v>
      </c>
      <c r="AD95" t="s">
        <v>37</v>
      </c>
      <c r="AE95" t="s">
        <v>27</v>
      </c>
      <c r="AF95" t="s">
        <v>18</v>
      </c>
      <c r="AG95" t="s">
        <v>14</v>
      </c>
      <c r="AH95" t="s">
        <v>14</v>
      </c>
      <c r="AI95" t="s">
        <v>24</v>
      </c>
      <c r="AJ95" t="s">
        <v>14</v>
      </c>
      <c r="AK95" t="s">
        <v>17</v>
      </c>
      <c r="AL95" t="s">
        <v>14</v>
      </c>
      <c r="AM95">
        <f t="shared" si="25"/>
        <v>64.275766016713092</v>
      </c>
      <c r="AN95">
        <f t="shared" si="29"/>
        <v>6079.6657381615605</v>
      </c>
      <c r="AO95">
        <f t="shared" si="30"/>
        <v>3569.2200557103065</v>
      </c>
      <c r="AP95">
        <f t="shared" si="31"/>
        <v>1275.6963788300836</v>
      </c>
      <c r="AQ95">
        <f t="shared" si="32"/>
        <v>571.58774373259052</v>
      </c>
      <c r="AR95">
        <f t="shared" si="33"/>
        <v>1234.7493036211699</v>
      </c>
      <c r="AS95">
        <f t="shared" si="34"/>
        <v>6.3583815028901727</v>
      </c>
      <c r="AT95">
        <f t="shared" si="35"/>
        <v>24.710982658959537</v>
      </c>
      <c r="AU95">
        <f t="shared" si="36"/>
        <v>10.397003573719417</v>
      </c>
      <c r="AV95">
        <f t="shared" si="37"/>
        <v>9.4016310821955464</v>
      </c>
      <c r="AW95">
        <f t="shared" si="38"/>
        <v>20.983001924310454</v>
      </c>
      <c r="AX95">
        <f t="shared" si="39"/>
        <v>20.309493264913407</v>
      </c>
      <c r="AY95">
        <f t="shared" si="40"/>
        <v>2425.9374999999991</v>
      </c>
      <c r="AZ95">
        <f t="shared" si="41"/>
        <v>632.10306406685243</v>
      </c>
      <c r="BA95">
        <f t="shared" si="42"/>
        <v>35.724233983286908</v>
      </c>
      <c r="BB95" t="s">
        <v>28</v>
      </c>
      <c r="BC95" t="s">
        <v>28</v>
      </c>
      <c r="BD95">
        <v>20.76</v>
      </c>
      <c r="BE95">
        <v>14.36</v>
      </c>
      <c r="BF95">
        <v>9.23</v>
      </c>
      <c r="BG95">
        <v>5.13</v>
      </c>
      <c r="BH95">
        <v>1.32</v>
      </c>
      <c r="BI95">
        <v>102878</v>
      </c>
      <c r="BJ95">
        <v>51254</v>
      </c>
      <c r="BK95">
        <v>8208</v>
      </c>
      <c r="BL95">
        <v>5585</v>
      </c>
      <c r="BM95">
        <v>708</v>
      </c>
      <c r="BN95">
        <v>9077</v>
      </c>
      <c r="BO95">
        <v>2949</v>
      </c>
      <c r="BP95">
        <v>5744</v>
      </c>
      <c r="BQ95">
        <v>3779</v>
      </c>
      <c r="BR95">
        <v>15526</v>
      </c>
      <c r="BS95" t="s">
        <v>21</v>
      </c>
      <c r="BT95" t="s">
        <v>406</v>
      </c>
      <c r="BU95">
        <v>0</v>
      </c>
      <c r="BV95">
        <v>0.3</v>
      </c>
      <c r="BW95">
        <v>0</v>
      </c>
      <c r="BX95">
        <v>1.2</v>
      </c>
      <c r="BY95">
        <v>25.1</v>
      </c>
      <c r="BZ95">
        <v>25.7</v>
      </c>
      <c r="CA95">
        <v>4</v>
      </c>
      <c r="CB95">
        <v>4</v>
      </c>
      <c r="CC95">
        <v>0</v>
      </c>
      <c r="CD95">
        <f t="shared" si="43"/>
        <v>2.3346303501945442E-2</v>
      </c>
      <c r="CE95">
        <v>1</v>
      </c>
    </row>
    <row r="96" spans="1:83" x14ac:dyDescent="0.4">
      <c r="A96" t="s">
        <v>1043</v>
      </c>
      <c r="B96" t="s">
        <v>59</v>
      </c>
      <c r="C96" t="s">
        <v>73</v>
      </c>
      <c r="D96" t="s">
        <v>82</v>
      </c>
      <c r="E96" t="s">
        <v>59</v>
      </c>
      <c r="F96" t="s">
        <v>12</v>
      </c>
      <c r="G96">
        <v>40</v>
      </c>
      <c r="H96">
        <v>46</v>
      </c>
      <c r="I96">
        <v>46.5</v>
      </c>
      <c r="J96">
        <f t="shared" si="26"/>
        <v>-6.5</v>
      </c>
      <c r="K96">
        <f t="shared" si="27"/>
        <v>-0.5</v>
      </c>
      <c r="L96">
        <v>-6</v>
      </c>
      <c r="M96">
        <v>46.58</v>
      </c>
      <c r="N96" t="s">
        <v>410</v>
      </c>
      <c r="O96" t="s">
        <v>411</v>
      </c>
      <c r="P96" t="s">
        <v>13</v>
      </c>
      <c r="Q96">
        <v>0.4</v>
      </c>
      <c r="R96" t="s">
        <v>13</v>
      </c>
      <c r="S96" t="s">
        <v>35</v>
      </c>
      <c r="T96" t="s">
        <v>14</v>
      </c>
      <c r="U96">
        <v>2.5</v>
      </c>
      <c r="V96" t="s">
        <v>14</v>
      </c>
      <c r="W96">
        <f t="shared" si="28"/>
        <v>1</v>
      </c>
      <c r="X96" t="s">
        <v>17</v>
      </c>
      <c r="Y96" t="s">
        <v>14</v>
      </c>
      <c r="Z96">
        <v>0</v>
      </c>
      <c r="AA96">
        <f t="shared" si="22"/>
        <v>4966.6246056782338</v>
      </c>
      <c r="AB96">
        <f t="shared" si="23"/>
        <v>61.022082018927442</v>
      </c>
      <c r="AC96">
        <f t="shared" si="24"/>
        <v>38.410094637223978</v>
      </c>
      <c r="AD96" t="s">
        <v>15</v>
      </c>
      <c r="AE96" t="s">
        <v>15</v>
      </c>
      <c r="AF96" t="s">
        <v>18</v>
      </c>
      <c r="AG96" t="s">
        <v>14</v>
      </c>
      <c r="AH96" t="s">
        <v>17</v>
      </c>
      <c r="AI96" t="s">
        <v>41</v>
      </c>
      <c r="AJ96" t="s">
        <v>14</v>
      </c>
      <c r="AK96" t="s">
        <v>17</v>
      </c>
      <c r="AL96" t="s">
        <v>14</v>
      </c>
      <c r="AM96">
        <f t="shared" si="25"/>
        <v>62.944582299421008</v>
      </c>
      <c r="AN96">
        <f t="shared" si="29"/>
        <v>6569.5409429280398</v>
      </c>
      <c r="AO96">
        <f t="shared" si="30"/>
        <v>3791.2220843672458</v>
      </c>
      <c r="AP96">
        <f t="shared" si="31"/>
        <v>1465.4673283705542</v>
      </c>
      <c r="AQ96">
        <f t="shared" si="32"/>
        <v>1099.7311827956989</v>
      </c>
      <c r="AR96">
        <f t="shared" si="33"/>
        <v>1312.8515301902398</v>
      </c>
      <c r="AS96">
        <f t="shared" si="34"/>
        <v>6.3091482649842268E-2</v>
      </c>
      <c r="AT96">
        <f t="shared" si="35"/>
        <v>22.611987381703472</v>
      </c>
      <c r="AU96">
        <f t="shared" si="36"/>
        <v>19.156885518865103</v>
      </c>
      <c r="AV96">
        <f t="shared" si="37"/>
        <v>16.739848223025909</v>
      </c>
      <c r="AW96">
        <f t="shared" si="38"/>
        <v>22.306997415825471</v>
      </c>
      <c r="AX96">
        <f t="shared" si="39"/>
        <v>19.983915795570077</v>
      </c>
      <c r="AY96">
        <f t="shared" si="40"/>
        <v>2455.2282292003883</v>
      </c>
      <c r="AZ96">
        <f t="shared" si="41"/>
        <v>1258.5194375516955</v>
      </c>
      <c r="BA96">
        <f t="shared" si="42"/>
        <v>37.055417700579</v>
      </c>
      <c r="BB96" t="s">
        <v>16</v>
      </c>
      <c r="BC96" t="s">
        <v>16</v>
      </c>
      <c r="BD96">
        <v>158.5</v>
      </c>
      <c r="BE96">
        <v>96.72</v>
      </c>
      <c r="BF96">
        <v>60.88</v>
      </c>
      <c r="BG96">
        <v>35.840000000000003</v>
      </c>
      <c r="BH96">
        <v>0.1</v>
      </c>
      <c r="BI96">
        <v>787210</v>
      </c>
      <c r="BJ96">
        <v>366687</v>
      </c>
      <c r="BK96">
        <v>106366</v>
      </c>
      <c r="BL96">
        <v>16677</v>
      </c>
      <c r="BM96">
        <v>2246</v>
      </c>
      <c r="BN96">
        <v>121724</v>
      </c>
      <c r="BO96">
        <v>1093</v>
      </c>
      <c r="BP96">
        <v>17806</v>
      </c>
      <c r="BQ96">
        <v>2807</v>
      </c>
      <c r="BR96">
        <v>151684</v>
      </c>
      <c r="BS96" t="s">
        <v>21</v>
      </c>
      <c r="BT96" t="s">
        <v>409</v>
      </c>
      <c r="BU96">
        <v>0</v>
      </c>
      <c r="BV96">
        <v>0.7</v>
      </c>
      <c r="BW96">
        <v>3.8</v>
      </c>
      <c r="BX96">
        <v>0.2</v>
      </c>
      <c r="BY96">
        <v>166.4</v>
      </c>
      <c r="BZ96">
        <v>175.5</v>
      </c>
      <c r="CA96">
        <v>1</v>
      </c>
      <c r="CB96">
        <v>1</v>
      </c>
      <c r="CC96">
        <v>0</v>
      </c>
      <c r="CD96">
        <f t="shared" si="43"/>
        <v>5.1851851851851816E-2</v>
      </c>
      <c r="CE96">
        <v>1</v>
      </c>
    </row>
    <row r="97" spans="1:83" x14ac:dyDescent="0.4">
      <c r="A97" t="s">
        <v>1044</v>
      </c>
      <c r="B97" t="s">
        <v>19</v>
      </c>
      <c r="C97" t="s">
        <v>19</v>
      </c>
      <c r="D97" t="s">
        <v>19</v>
      </c>
      <c r="E97" t="s">
        <v>59</v>
      </c>
      <c r="F97" t="s">
        <v>22</v>
      </c>
      <c r="G97">
        <v>30</v>
      </c>
      <c r="H97">
        <v>39</v>
      </c>
      <c r="I97">
        <v>42.5</v>
      </c>
      <c r="J97">
        <f t="shared" si="26"/>
        <v>-12.5</v>
      </c>
      <c r="K97">
        <f t="shared" si="27"/>
        <v>-3.5</v>
      </c>
      <c r="L97">
        <v>-9</v>
      </c>
      <c r="M97">
        <v>42.42</v>
      </c>
      <c r="N97" t="s">
        <v>413</v>
      </c>
      <c r="O97" t="s">
        <v>414</v>
      </c>
      <c r="P97" t="s">
        <v>13</v>
      </c>
      <c r="Q97">
        <v>0</v>
      </c>
      <c r="R97" t="s">
        <v>26</v>
      </c>
      <c r="S97" t="s">
        <v>15</v>
      </c>
      <c r="T97" t="s">
        <v>14</v>
      </c>
      <c r="U97">
        <v>2.5</v>
      </c>
      <c r="V97" t="s">
        <v>14</v>
      </c>
      <c r="W97">
        <f t="shared" si="28"/>
        <v>0.6</v>
      </c>
      <c r="X97" t="s">
        <v>14</v>
      </c>
      <c r="Y97" t="s">
        <v>14</v>
      </c>
      <c r="Z97">
        <v>0</v>
      </c>
      <c r="AA97">
        <f t="shared" si="22"/>
        <v>2592.4290220820189</v>
      </c>
      <c r="AB97">
        <f t="shared" si="23"/>
        <v>49.526813880126184</v>
      </c>
      <c r="AC97">
        <f t="shared" si="24"/>
        <v>20.820189274447952</v>
      </c>
      <c r="AD97" t="s">
        <v>15</v>
      </c>
      <c r="AE97" t="s">
        <v>36</v>
      </c>
      <c r="AF97" t="s">
        <v>18</v>
      </c>
      <c r="AG97" t="s">
        <v>14</v>
      </c>
      <c r="AH97" t="s">
        <v>14</v>
      </c>
      <c r="AI97" t="s">
        <v>41</v>
      </c>
      <c r="AJ97" t="s">
        <v>14</v>
      </c>
      <c r="AK97" t="s">
        <v>14</v>
      </c>
      <c r="AL97" t="s">
        <v>14</v>
      </c>
      <c r="AM97">
        <f t="shared" si="25"/>
        <v>42.038216560509554</v>
      </c>
      <c r="AN97">
        <f t="shared" si="29"/>
        <v>4103.8216560509554</v>
      </c>
      <c r="AO97">
        <f t="shared" si="30"/>
        <v>2220.3821656050955</v>
      </c>
      <c r="AP97">
        <f t="shared" si="31"/>
        <v>903.82165605095543</v>
      </c>
      <c r="AQ97">
        <f t="shared" si="32"/>
        <v>600.63694267515916</v>
      </c>
      <c r="AR97">
        <f t="shared" si="33"/>
        <v>979.61783439490443</v>
      </c>
      <c r="AS97">
        <f t="shared" si="34"/>
        <v>35.015772870662467</v>
      </c>
      <c r="AT97">
        <f t="shared" si="35"/>
        <v>28.706624605678233</v>
      </c>
      <c r="AU97">
        <f t="shared" si="36"/>
        <v>11.330125717833308</v>
      </c>
      <c r="AV97">
        <f t="shared" si="37"/>
        <v>14.636039112214807</v>
      </c>
      <c r="AW97">
        <f t="shared" si="38"/>
        <v>22.023901909048579</v>
      </c>
      <c r="AX97">
        <f t="shared" si="39"/>
        <v>23.870867608257022</v>
      </c>
      <c r="AY97">
        <f t="shared" si="40"/>
        <v>1098.125</v>
      </c>
      <c r="AZ97">
        <f t="shared" si="41"/>
        <v>464.96815286624201</v>
      </c>
      <c r="BA97">
        <f t="shared" si="42"/>
        <v>57.961783439490446</v>
      </c>
      <c r="BB97" t="s">
        <v>29</v>
      </c>
      <c r="BC97" t="s">
        <v>30</v>
      </c>
      <c r="BD97">
        <v>3.17</v>
      </c>
      <c r="BE97">
        <v>1.57</v>
      </c>
      <c r="BF97">
        <v>0.66</v>
      </c>
      <c r="BG97">
        <v>0.91</v>
      </c>
      <c r="BH97">
        <v>1.1100000000000001</v>
      </c>
      <c r="BI97">
        <v>8218</v>
      </c>
      <c r="BJ97">
        <v>3486</v>
      </c>
      <c r="BK97">
        <v>943</v>
      </c>
      <c r="BL97">
        <v>551</v>
      </c>
      <c r="BM97">
        <v>65</v>
      </c>
      <c r="BN97">
        <v>730</v>
      </c>
      <c r="BO97">
        <v>73</v>
      </c>
      <c r="BP97">
        <v>296</v>
      </c>
      <c r="BQ97">
        <v>299</v>
      </c>
      <c r="BR97">
        <v>1757</v>
      </c>
      <c r="BS97" t="s">
        <v>21</v>
      </c>
      <c r="BT97" t="s">
        <v>308</v>
      </c>
      <c r="BU97">
        <v>0</v>
      </c>
      <c r="BV97">
        <v>0</v>
      </c>
      <c r="BW97">
        <v>0</v>
      </c>
      <c r="BX97">
        <v>0.2</v>
      </c>
      <c r="BY97">
        <v>3.7</v>
      </c>
      <c r="BZ97">
        <v>3.7</v>
      </c>
      <c r="CA97">
        <v>5</v>
      </c>
      <c r="CB97">
        <v>3</v>
      </c>
      <c r="CC97">
        <v>0</v>
      </c>
      <c r="CD97">
        <f t="shared" si="43"/>
        <v>0</v>
      </c>
      <c r="CE97">
        <v>0.6</v>
      </c>
    </row>
    <row r="98" spans="1:83" x14ac:dyDescent="0.4">
      <c r="A98" t="s">
        <v>1045</v>
      </c>
      <c r="B98" t="s">
        <v>34</v>
      </c>
      <c r="C98" t="s">
        <v>34</v>
      </c>
      <c r="D98" t="s">
        <v>34</v>
      </c>
      <c r="E98" t="s">
        <v>59</v>
      </c>
      <c r="F98" t="s">
        <v>12</v>
      </c>
      <c r="G98">
        <v>40</v>
      </c>
      <c r="H98">
        <v>69</v>
      </c>
      <c r="I98">
        <v>59</v>
      </c>
      <c r="J98">
        <f t="shared" si="26"/>
        <v>-19</v>
      </c>
      <c r="K98">
        <f t="shared" si="27"/>
        <v>10</v>
      </c>
      <c r="L98">
        <v>-29</v>
      </c>
      <c r="M98">
        <v>58.78</v>
      </c>
      <c r="N98" t="s">
        <v>415</v>
      </c>
      <c r="O98" t="s">
        <v>416</v>
      </c>
      <c r="P98" t="s">
        <v>13</v>
      </c>
      <c r="Q98">
        <v>1.6</v>
      </c>
      <c r="R98" t="s">
        <v>26</v>
      </c>
      <c r="S98" t="s">
        <v>15</v>
      </c>
      <c r="T98" t="s">
        <v>14</v>
      </c>
      <c r="U98">
        <v>12.5</v>
      </c>
      <c r="V98" t="s">
        <v>17</v>
      </c>
      <c r="W98">
        <f t="shared" si="28"/>
        <v>1</v>
      </c>
      <c r="X98" t="s">
        <v>17</v>
      </c>
      <c r="Y98" t="s">
        <v>14</v>
      </c>
      <c r="Z98">
        <v>0</v>
      </c>
      <c r="AA98">
        <f t="shared" si="22"/>
        <v>5304.6026156941643</v>
      </c>
      <c r="AB98">
        <f t="shared" si="23"/>
        <v>94.713279678068403</v>
      </c>
      <c r="AC98">
        <f t="shared" si="24"/>
        <v>55.140845070422529</v>
      </c>
      <c r="AD98" t="s">
        <v>15</v>
      </c>
      <c r="AE98" t="s">
        <v>15</v>
      </c>
      <c r="AF98" t="s">
        <v>18</v>
      </c>
      <c r="AG98" t="s">
        <v>14</v>
      </c>
      <c r="AH98" t="s">
        <v>17</v>
      </c>
      <c r="AI98" t="s">
        <v>41</v>
      </c>
      <c r="AJ98" t="s">
        <v>14</v>
      </c>
      <c r="AK98" t="s">
        <v>14</v>
      </c>
      <c r="AL98" t="s">
        <v>17</v>
      </c>
      <c r="AM98">
        <f t="shared" si="25"/>
        <v>58.218705188804506</v>
      </c>
      <c r="AN98">
        <f t="shared" si="29"/>
        <v>5348.3137713102133</v>
      </c>
      <c r="AO98">
        <f t="shared" si="30"/>
        <v>3291.9485899410483</v>
      </c>
      <c r="AP98">
        <f t="shared" si="31"/>
        <v>693.536565935525</v>
      </c>
      <c r="AQ98">
        <f t="shared" si="32"/>
        <v>1019.2309734983271</v>
      </c>
      <c r="AR98">
        <f t="shared" si="33"/>
        <v>1362.8286154336397</v>
      </c>
      <c r="AS98">
        <f t="shared" si="34"/>
        <v>1.02112676056338</v>
      </c>
      <c r="AT98">
        <f t="shared" si="35"/>
        <v>39.572434607645874</v>
      </c>
      <c r="AU98">
        <f t="shared" si="36"/>
        <v>9.035146777566597</v>
      </c>
      <c r="AV98">
        <f t="shared" si="37"/>
        <v>19.057052691368909</v>
      </c>
      <c r="AW98">
        <f t="shared" si="38"/>
        <v>12.967387397049157</v>
      </c>
      <c r="AX98">
        <f t="shared" si="39"/>
        <v>25.481463386539083</v>
      </c>
      <c r="AY98">
        <f t="shared" si="40"/>
        <v>4459.1817316841025</v>
      </c>
      <c r="AZ98">
        <f t="shared" si="41"/>
        <v>483.22799936268524</v>
      </c>
      <c r="BA98">
        <f t="shared" si="42"/>
        <v>41.781294811195501</v>
      </c>
      <c r="BB98" t="s">
        <v>16</v>
      </c>
      <c r="BC98" t="s">
        <v>16</v>
      </c>
      <c r="BD98">
        <v>198.8</v>
      </c>
      <c r="BE98">
        <v>188.29</v>
      </c>
      <c r="BF98">
        <v>109.62</v>
      </c>
      <c r="BG98">
        <v>78.67</v>
      </c>
      <c r="BH98">
        <v>2.0299999999999998</v>
      </c>
      <c r="BI98">
        <v>1054555</v>
      </c>
      <c r="BJ98">
        <v>619841</v>
      </c>
      <c r="BK98">
        <v>191911</v>
      </c>
      <c r="BL98">
        <v>16679</v>
      </c>
      <c r="BM98">
        <v>13150</v>
      </c>
      <c r="BN98">
        <v>90987</v>
      </c>
      <c r="BO98">
        <v>9770</v>
      </c>
      <c r="BP98">
        <v>39957</v>
      </c>
      <c r="BQ98">
        <v>24739</v>
      </c>
      <c r="BR98">
        <v>46866</v>
      </c>
      <c r="BS98" t="s">
        <v>21</v>
      </c>
      <c r="BT98" t="s">
        <v>255</v>
      </c>
      <c r="BU98">
        <v>0</v>
      </c>
      <c r="BV98">
        <v>0.3</v>
      </c>
      <c r="BW98">
        <v>2.2000000000000002</v>
      </c>
      <c r="BX98">
        <v>1.3</v>
      </c>
      <c r="BY98">
        <v>206</v>
      </c>
      <c r="BZ98">
        <v>217.8</v>
      </c>
      <c r="CA98">
        <v>1</v>
      </c>
      <c r="CB98">
        <v>1</v>
      </c>
      <c r="CC98">
        <v>0</v>
      </c>
      <c r="CD98">
        <f t="shared" si="43"/>
        <v>5.4178145087236063E-2</v>
      </c>
      <c r="CE98">
        <v>1</v>
      </c>
    </row>
    <row r="99" spans="1:83" x14ac:dyDescent="0.4">
      <c r="A99" t="s">
        <v>1046</v>
      </c>
      <c r="B99" t="s">
        <v>59</v>
      </c>
      <c r="C99" t="s">
        <v>73</v>
      </c>
      <c r="D99" t="s">
        <v>82</v>
      </c>
      <c r="E99" t="s">
        <v>59</v>
      </c>
      <c r="F99" t="s">
        <v>22</v>
      </c>
      <c r="G99">
        <v>30</v>
      </c>
      <c r="H99">
        <v>94</v>
      </c>
      <c r="I99">
        <v>29</v>
      </c>
      <c r="J99">
        <f t="shared" si="26"/>
        <v>1</v>
      </c>
      <c r="K99">
        <f t="shared" si="27"/>
        <v>65</v>
      </c>
      <c r="L99">
        <v>-64</v>
      </c>
      <c r="M99">
        <v>28.95</v>
      </c>
      <c r="N99" t="s">
        <v>417</v>
      </c>
      <c r="O99" t="s">
        <v>418</v>
      </c>
      <c r="P99" t="s">
        <v>13</v>
      </c>
      <c r="Q99">
        <v>0.1</v>
      </c>
      <c r="R99" t="s">
        <v>13</v>
      </c>
      <c r="S99" t="s">
        <v>15</v>
      </c>
      <c r="T99" t="s">
        <v>14</v>
      </c>
      <c r="U99">
        <v>2.5</v>
      </c>
      <c r="V99" t="s">
        <v>14</v>
      </c>
      <c r="W99">
        <f t="shared" si="28"/>
        <v>0.7142857142857143</v>
      </c>
      <c r="X99" t="s">
        <v>14</v>
      </c>
      <c r="Y99" t="s">
        <v>14</v>
      </c>
      <c r="Z99">
        <v>0</v>
      </c>
      <c r="AA99">
        <f t="shared" si="22"/>
        <v>5711.2794612794605</v>
      </c>
      <c r="AB99">
        <f t="shared" si="23"/>
        <v>86.195286195286187</v>
      </c>
      <c r="AC99">
        <f t="shared" si="24"/>
        <v>53.703703703703702</v>
      </c>
      <c r="AD99" t="s">
        <v>15</v>
      </c>
      <c r="AE99" t="s">
        <v>15</v>
      </c>
      <c r="AF99" t="s">
        <v>18</v>
      </c>
      <c r="AG99" t="s">
        <v>14</v>
      </c>
      <c r="AH99" t="s">
        <v>14</v>
      </c>
      <c r="AI99" t="s">
        <v>18</v>
      </c>
      <c r="AJ99" t="s">
        <v>14</v>
      </c>
      <c r="AK99" t="s">
        <v>14</v>
      </c>
      <c r="AL99" t="s">
        <v>14</v>
      </c>
      <c r="AM99">
        <f t="shared" si="25"/>
        <v>62.3046875</v>
      </c>
      <c r="AN99">
        <f t="shared" si="29"/>
        <v>5703.90625</v>
      </c>
      <c r="AO99">
        <f t="shared" si="30"/>
        <v>1918.1640625</v>
      </c>
      <c r="AP99">
        <f t="shared" si="31"/>
        <v>595.1171875</v>
      </c>
      <c r="AQ99">
        <f t="shared" si="32"/>
        <v>1169.53125</v>
      </c>
      <c r="AR99">
        <f t="shared" si="33"/>
        <v>3190.625</v>
      </c>
      <c r="AS99">
        <f t="shared" si="34"/>
        <v>0</v>
      </c>
      <c r="AT99">
        <f t="shared" si="35"/>
        <v>32.323232323232318</v>
      </c>
      <c r="AU99">
        <f t="shared" si="36"/>
        <v>7.1873715929324753</v>
      </c>
      <c r="AV99">
        <f t="shared" si="37"/>
        <v>20.504040542391454</v>
      </c>
      <c r="AW99">
        <f t="shared" si="38"/>
        <v>10.433502259964389</v>
      </c>
      <c r="AX99">
        <f t="shared" si="39"/>
        <v>55.937542802355843</v>
      </c>
      <c r="AY99">
        <f t="shared" si="40"/>
        <v>5702.4390243902417</v>
      </c>
      <c r="AZ99">
        <f t="shared" si="41"/>
        <v>409.9609375</v>
      </c>
      <c r="BA99">
        <f t="shared" si="42"/>
        <v>37.5</v>
      </c>
      <c r="BB99" t="s">
        <v>50</v>
      </c>
      <c r="BC99" t="s">
        <v>29</v>
      </c>
      <c r="BD99">
        <v>5.94</v>
      </c>
      <c r="BE99">
        <v>5.12</v>
      </c>
      <c r="BF99">
        <v>3.19</v>
      </c>
      <c r="BG99">
        <v>1.92</v>
      </c>
      <c r="BH99">
        <v>0</v>
      </c>
      <c r="BI99">
        <v>33925</v>
      </c>
      <c r="BJ99">
        <v>9821</v>
      </c>
      <c r="BK99">
        <v>5988</v>
      </c>
      <c r="BL99">
        <v>499</v>
      </c>
      <c r="BM99">
        <v>199</v>
      </c>
      <c r="BN99">
        <v>2099</v>
      </c>
      <c r="BO99">
        <v>250</v>
      </c>
      <c r="BP99">
        <v>1231</v>
      </c>
      <c r="BQ99">
        <v>9117</v>
      </c>
      <c r="BR99">
        <v>4676</v>
      </c>
      <c r="BS99" t="s">
        <v>21</v>
      </c>
      <c r="BT99" t="s">
        <v>179</v>
      </c>
      <c r="BU99">
        <v>0</v>
      </c>
      <c r="BV99">
        <v>0</v>
      </c>
      <c r="BW99">
        <v>0</v>
      </c>
      <c r="BX99">
        <v>0.1</v>
      </c>
      <c r="BY99">
        <v>6.3</v>
      </c>
      <c r="BZ99">
        <v>6.3</v>
      </c>
      <c r="CA99">
        <v>7</v>
      </c>
      <c r="CB99">
        <v>5</v>
      </c>
      <c r="CC99">
        <v>0</v>
      </c>
      <c r="CD99">
        <f t="shared" si="43"/>
        <v>0</v>
      </c>
      <c r="CE99">
        <v>0.7142857142857143</v>
      </c>
    </row>
    <row r="100" spans="1:83" x14ac:dyDescent="0.4">
      <c r="A100" t="s">
        <v>1047</v>
      </c>
      <c r="B100" t="s">
        <v>59</v>
      </c>
      <c r="C100" t="s">
        <v>73</v>
      </c>
      <c r="D100" t="s">
        <v>82</v>
      </c>
      <c r="E100" t="s">
        <v>59</v>
      </c>
      <c r="F100" t="s">
        <v>12</v>
      </c>
      <c r="G100">
        <v>60</v>
      </c>
      <c r="H100">
        <v>60</v>
      </c>
      <c r="I100">
        <v>28</v>
      </c>
      <c r="J100">
        <f t="shared" si="26"/>
        <v>32</v>
      </c>
      <c r="K100">
        <f t="shared" si="27"/>
        <v>32</v>
      </c>
      <c r="L100">
        <v>0</v>
      </c>
      <c r="M100">
        <v>27.81</v>
      </c>
      <c r="N100" t="s">
        <v>421</v>
      </c>
      <c r="O100" t="s">
        <v>422</v>
      </c>
      <c r="P100" t="s">
        <v>13</v>
      </c>
      <c r="Q100">
        <v>0.1</v>
      </c>
      <c r="R100" t="s">
        <v>26</v>
      </c>
      <c r="S100" t="s">
        <v>15</v>
      </c>
      <c r="T100" t="s">
        <v>14</v>
      </c>
      <c r="U100">
        <v>2.5</v>
      </c>
      <c r="V100" t="s">
        <v>14</v>
      </c>
      <c r="W100">
        <f t="shared" si="28"/>
        <v>1</v>
      </c>
      <c r="X100" t="s">
        <v>17</v>
      </c>
      <c r="Y100" t="s">
        <v>14</v>
      </c>
      <c r="Z100">
        <v>0</v>
      </c>
      <c r="AA100">
        <f t="shared" si="22"/>
        <v>4294.7270922924245</v>
      </c>
      <c r="AB100">
        <f t="shared" si="23"/>
        <v>41.720145550777374</v>
      </c>
      <c r="AC100">
        <f t="shared" si="24"/>
        <v>21.554746940125703</v>
      </c>
      <c r="AD100" t="s">
        <v>15</v>
      </c>
      <c r="AE100" t="s">
        <v>27</v>
      </c>
      <c r="AF100" t="s">
        <v>18</v>
      </c>
      <c r="AG100" t="s">
        <v>17</v>
      </c>
      <c r="AH100" t="s">
        <v>17</v>
      </c>
      <c r="AI100" t="s">
        <v>24</v>
      </c>
      <c r="AJ100" t="s">
        <v>14</v>
      </c>
      <c r="AK100" t="s">
        <v>14</v>
      </c>
      <c r="AL100" t="s">
        <v>14</v>
      </c>
      <c r="AM100">
        <f t="shared" si="25"/>
        <v>51.6650808753568</v>
      </c>
      <c r="AN100">
        <f t="shared" si="29"/>
        <v>5621.6936251189345</v>
      </c>
      <c r="AO100">
        <f t="shared" si="30"/>
        <v>2862.6546146527116</v>
      </c>
      <c r="AP100">
        <f t="shared" si="31"/>
        <v>1350.7453219156359</v>
      </c>
      <c r="AQ100">
        <f t="shared" si="32"/>
        <v>1126.149698699651</v>
      </c>
      <c r="AR100">
        <f t="shared" si="33"/>
        <v>1408.2936885505867</v>
      </c>
      <c r="AS100">
        <f t="shared" si="34"/>
        <v>0.43003638769434333</v>
      </c>
      <c r="AT100">
        <f t="shared" si="35"/>
        <v>20.165398610651671</v>
      </c>
      <c r="AU100">
        <f t="shared" si="36"/>
        <v>17.408266197278451</v>
      </c>
      <c r="AV100">
        <f t="shared" si="37"/>
        <v>20.032214022972944</v>
      </c>
      <c r="AW100">
        <f t="shared" si="38"/>
        <v>24.027373456999076</v>
      </c>
      <c r="AX100">
        <f t="shared" si="39"/>
        <v>25.051057251822265</v>
      </c>
      <c r="AY100">
        <f t="shared" si="40"/>
        <v>3339.8569644681575</v>
      </c>
      <c r="AZ100">
        <f t="shared" si="41"/>
        <v>978.63939105613701</v>
      </c>
      <c r="BA100">
        <f t="shared" si="42"/>
        <v>48.334919124643193</v>
      </c>
      <c r="BB100" t="s">
        <v>16</v>
      </c>
      <c r="BC100" t="s">
        <v>16</v>
      </c>
      <c r="BD100">
        <v>151.15</v>
      </c>
      <c r="BE100">
        <v>63.06</v>
      </c>
      <c r="BF100">
        <v>32.58</v>
      </c>
      <c r="BG100">
        <v>30.48</v>
      </c>
      <c r="BH100">
        <v>0.65</v>
      </c>
      <c r="BI100">
        <v>649148</v>
      </c>
      <c r="BJ100">
        <v>180519</v>
      </c>
      <c r="BK100">
        <v>71015</v>
      </c>
      <c r="BL100">
        <v>15847</v>
      </c>
      <c r="BM100">
        <v>3970</v>
      </c>
      <c r="BN100">
        <v>61713</v>
      </c>
      <c r="BO100">
        <v>3648</v>
      </c>
      <c r="BP100">
        <v>8322</v>
      </c>
      <c r="BQ100">
        <v>9470</v>
      </c>
      <c r="BR100">
        <v>294208</v>
      </c>
      <c r="BS100" t="s">
        <v>21</v>
      </c>
      <c r="BT100" t="s">
        <v>420</v>
      </c>
      <c r="BU100">
        <v>0</v>
      </c>
      <c r="BV100">
        <v>0</v>
      </c>
      <c r="BW100">
        <v>1.6</v>
      </c>
      <c r="BX100">
        <v>0.3</v>
      </c>
      <c r="BY100">
        <v>156.69999999999999</v>
      </c>
      <c r="BZ100">
        <v>159.9</v>
      </c>
      <c r="CA100">
        <v>1</v>
      </c>
      <c r="CB100">
        <v>1</v>
      </c>
      <c r="CC100">
        <v>0</v>
      </c>
      <c r="CD100">
        <f t="shared" si="43"/>
        <v>2.0012507817385949E-2</v>
      </c>
      <c r="CE100">
        <v>1</v>
      </c>
    </row>
    <row r="101" spans="1:83" x14ac:dyDescent="0.4">
      <c r="A101" t="s">
        <v>1048</v>
      </c>
      <c r="B101" t="s">
        <v>59</v>
      </c>
      <c r="C101" t="s">
        <v>73</v>
      </c>
      <c r="D101" t="s">
        <v>82</v>
      </c>
      <c r="E101" t="s">
        <v>59</v>
      </c>
      <c r="F101" t="s">
        <v>32</v>
      </c>
      <c r="G101">
        <v>70</v>
      </c>
      <c r="H101">
        <v>82</v>
      </c>
      <c r="I101">
        <v>38</v>
      </c>
      <c r="J101">
        <f t="shared" si="26"/>
        <v>32</v>
      </c>
      <c r="K101">
        <f t="shared" si="27"/>
        <v>44</v>
      </c>
      <c r="L101">
        <v>-12</v>
      </c>
      <c r="M101">
        <v>38.14</v>
      </c>
      <c r="N101" t="s">
        <v>423</v>
      </c>
      <c r="O101" t="s">
        <v>424</v>
      </c>
      <c r="P101" t="s">
        <v>13</v>
      </c>
      <c r="Q101">
        <v>0.4</v>
      </c>
      <c r="R101" t="s">
        <v>26</v>
      </c>
      <c r="S101" t="s">
        <v>15</v>
      </c>
      <c r="T101" t="s">
        <v>14</v>
      </c>
      <c r="U101">
        <v>2.5</v>
      </c>
      <c r="V101" t="s">
        <v>14</v>
      </c>
      <c r="W101">
        <v>0</v>
      </c>
      <c r="X101" t="s">
        <v>14</v>
      </c>
      <c r="Y101" t="s">
        <v>14</v>
      </c>
      <c r="Z101">
        <v>0</v>
      </c>
      <c r="AA101">
        <f t="shared" si="22"/>
        <v>662.63736263736257</v>
      </c>
      <c r="AB101">
        <f t="shared" si="23"/>
        <v>6.5934065934065931</v>
      </c>
      <c r="AC101">
        <f t="shared" si="24"/>
        <v>6.5934065934065931</v>
      </c>
      <c r="AD101" t="s">
        <v>15</v>
      </c>
      <c r="AE101" t="s">
        <v>15</v>
      </c>
      <c r="AF101" t="s">
        <v>18</v>
      </c>
      <c r="AG101" t="s">
        <v>14</v>
      </c>
      <c r="AH101" t="s">
        <v>14</v>
      </c>
      <c r="AI101" t="s">
        <v>14</v>
      </c>
      <c r="AJ101" t="s">
        <v>14</v>
      </c>
      <c r="AK101" t="s">
        <v>14</v>
      </c>
      <c r="AL101" t="s">
        <v>14</v>
      </c>
      <c r="AM101">
        <f t="shared" si="25"/>
        <v>100</v>
      </c>
      <c r="AN101">
        <f t="shared" si="29"/>
        <v>4600</v>
      </c>
      <c r="AO101">
        <f t="shared" si="30"/>
        <v>3833.3333333333335</v>
      </c>
      <c r="AP101">
        <f t="shared" si="31"/>
        <v>633.33333333333337</v>
      </c>
      <c r="AQ101">
        <f t="shared" si="32"/>
        <v>66.666666666666671</v>
      </c>
      <c r="AR101">
        <f t="shared" si="33"/>
        <v>133.33333333333334</v>
      </c>
      <c r="AS101">
        <f t="shared" si="34"/>
        <v>30.769230769230774</v>
      </c>
      <c r="AT101">
        <f t="shared" si="35"/>
        <v>0</v>
      </c>
      <c r="AU101">
        <f t="shared" si="36"/>
        <v>2.8985507246376812</v>
      </c>
      <c r="AV101">
        <f t="shared" si="37"/>
        <v>1.4492753623188406</v>
      </c>
      <c r="AW101">
        <f t="shared" si="38"/>
        <v>13.768115942028986</v>
      </c>
      <c r="AX101">
        <f t="shared" si="39"/>
        <v>2.8985507246376812</v>
      </c>
      <c r="AY101">
        <f t="shared" si="40"/>
        <v>384.70588235294116</v>
      </c>
      <c r="AZ101">
        <f t="shared" si="41"/>
        <v>133.33333333333334</v>
      </c>
      <c r="BA101">
        <f t="shared" si="42"/>
        <v>0</v>
      </c>
      <c r="BB101" t="s">
        <v>33</v>
      </c>
      <c r="BC101" t="s">
        <v>33</v>
      </c>
      <c r="BD101">
        <v>0.91</v>
      </c>
      <c r="BE101">
        <v>0.06</v>
      </c>
      <c r="BF101">
        <v>0.06</v>
      </c>
      <c r="BG101">
        <v>0</v>
      </c>
      <c r="BH101">
        <v>0.28000000000000003</v>
      </c>
      <c r="BI101">
        <v>603</v>
      </c>
      <c r="BJ101">
        <v>230</v>
      </c>
      <c r="BK101">
        <v>4</v>
      </c>
      <c r="BL101">
        <v>29</v>
      </c>
      <c r="BM101">
        <v>1</v>
      </c>
      <c r="BN101">
        <v>8</v>
      </c>
      <c r="BO101">
        <v>0</v>
      </c>
      <c r="BP101">
        <v>3</v>
      </c>
      <c r="BQ101">
        <v>1</v>
      </c>
      <c r="BR101">
        <v>327</v>
      </c>
      <c r="BS101" t="s">
        <v>44</v>
      </c>
      <c r="BT101" t="s">
        <v>176</v>
      </c>
      <c r="BU101">
        <v>0</v>
      </c>
      <c r="BV101">
        <v>0.1</v>
      </c>
      <c r="BW101">
        <v>0</v>
      </c>
      <c r="BX101">
        <v>0</v>
      </c>
      <c r="BY101">
        <v>14.4</v>
      </c>
      <c r="BZ101">
        <v>14.5</v>
      </c>
      <c r="CA101">
        <v>0</v>
      </c>
      <c r="CB101">
        <v>0</v>
      </c>
      <c r="CC101">
        <v>0</v>
      </c>
      <c r="CD101">
        <f t="shared" si="43"/>
        <v>6.8965517241379448E-3</v>
      </c>
      <c r="CE101">
        <v>0</v>
      </c>
    </row>
    <row r="102" spans="1:83" x14ac:dyDescent="0.4">
      <c r="A102" t="s">
        <v>1049</v>
      </c>
      <c r="B102" t="s">
        <v>59</v>
      </c>
      <c r="C102" t="s">
        <v>73</v>
      </c>
      <c r="D102" t="s">
        <v>82</v>
      </c>
      <c r="E102" t="s">
        <v>59</v>
      </c>
      <c r="F102" t="s">
        <v>12</v>
      </c>
      <c r="G102">
        <v>60</v>
      </c>
      <c r="H102">
        <v>42</v>
      </c>
      <c r="I102">
        <v>32</v>
      </c>
      <c r="J102">
        <f t="shared" si="26"/>
        <v>28</v>
      </c>
      <c r="K102">
        <f t="shared" si="27"/>
        <v>10</v>
      </c>
      <c r="L102">
        <v>18</v>
      </c>
      <c r="M102">
        <v>31.75</v>
      </c>
      <c r="N102" t="s">
        <v>426</v>
      </c>
      <c r="O102" t="s">
        <v>427</v>
      </c>
      <c r="P102" t="s">
        <v>13</v>
      </c>
      <c r="Q102">
        <v>0.1</v>
      </c>
      <c r="R102" t="s">
        <v>13</v>
      </c>
      <c r="S102" t="s">
        <v>15</v>
      </c>
      <c r="T102" t="s">
        <v>14</v>
      </c>
      <c r="U102">
        <v>2.5</v>
      </c>
      <c r="V102" t="s">
        <v>14</v>
      </c>
      <c r="W102">
        <f t="shared" si="28"/>
        <v>1</v>
      </c>
      <c r="X102" t="s">
        <v>17</v>
      </c>
      <c r="Y102" t="s">
        <v>14</v>
      </c>
      <c r="Z102">
        <v>0</v>
      </c>
      <c r="AA102">
        <f t="shared" si="22"/>
        <v>4531.3816925734027</v>
      </c>
      <c r="AB102">
        <f t="shared" si="23"/>
        <v>45.751295336787571</v>
      </c>
      <c r="AC102">
        <f t="shared" si="24"/>
        <v>22.037996545768568</v>
      </c>
      <c r="AD102" t="s">
        <v>15</v>
      </c>
      <c r="AE102" t="s">
        <v>15</v>
      </c>
      <c r="AF102" t="s">
        <v>18</v>
      </c>
      <c r="AG102" t="s">
        <v>14</v>
      </c>
      <c r="AH102" t="s">
        <v>17</v>
      </c>
      <c r="AI102" t="s">
        <v>41</v>
      </c>
      <c r="AJ102" t="s">
        <v>14</v>
      </c>
      <c r="AK102" t="s">
        <v>14</v>
      </c>
      <c r="AL102" t="s">
        <v>14</v>
      </c>
      <c r="AM102">
        <f t="shared" si="25"/>
        <v>48.169120422801058</v>
      </c>
      <c r="AN102">
        <f t="shared" si="29"/>
        <v>5429.8477412860202</v>
      </c>
      <c r="AO102">
        <f t="shared" si="30"/>
        <v>3144.6583616459043</v>
      </c>
      <c r="AP102">
        <f t="shared" si="31"/>
        <v>767.96275324021644</v>
      </c>
      <c r="AQ102">
        <f t="shared" si="32"/>
        <v>1229.7344910028942</v>
      </c>
      <c r="AR102">
        <f t="shared" si="33"/>
        <v>1517.2266263998993</v>
      </c>
      <c r="AS102">
        <f t="shared" si="34"/>
        <v>0.2187679907887162</v>
      </c>
      <c r="AT102">
        <f t="shared" si="35"/>
        <v>23.719055843408178</v>
      </c>
      <c r="AU102">
        <f t="shared" si="36"/>
        <v>10.958726333109313</v>
      </c>
      <c r="AV102">
        <f t="shared" si="37"/>
        <v>22.647679080438461</v>
      </c>
      <c r="AW102">
        <f t="shared" si="38"/>
        <v>14.14335704850409</v>
      </c>
      <c r="AX102">
        <f t="shared" si="39"/>
        <v>27.942342008296446</v>
      </c>
      <c r="AY102">
        <f t="shared" si="40"/>
        <v>3769.6593441579121</v>
      </c>
      <c r="AZ102">
        <f t="shared" si="41"/>
        <v>595.04215427205236</v>
      </c>
      <c r="BA102">
        <f t="shared" si="42"/>
        <v>51.843462941990687</v>
      </c>
      <c r="BB102" t="s">
        <v>16</v>
      </c>
      <c r="BC102" t="s">
        <v>16</v>
      </c>
      <c r="BD102">
        <v>173.7</v>
      </c>
      <c r="BE102">
        <v>79.47</v>
      </c>
      <c r="BF102">
        <v>38.28</v>
      </c>
      <c r="BG102">
        <v>41.2</v>
      </c>
      <c r="BH102">
        <v>0.38</v>
      </c>
      <c r="BI102">
        <v>787101</v>
      </c>
      <c r="BJ102">
        <v>249906</v>
      </c>
      <c r="BK102">
        <v>97727</v>
      </c>
      <c r="BL102">
        <v>10254</v>
      </c>
      <c r="BM102">
        <v>1230</v>
      </c>
      <c r="BN102">
        <v>47288</v>
      </c>
      <c r="BO102">
        <v>2258</v>
      </c>
      <c r="BP102">
        <v>10283</v>
      </c>
      <c r="BQ102">
        <v>12564</v>
      </c>
      <c r="BR102">
        <v>355215</v>
      </c>
      <c r="BS102" t="s">
        <v>21</v>
      </c>
      <c r="BT102" t="s">
        <v>425</v>
      </c>
      <c r="BU102">
        <v>0</v>
      </c>
      <c r="BV102">
        <v>0</v>
      </c>
      <c r="BW102">
        <v>3.4</v>
      </c>
      <c r="BX102">
        <v>0</v>
      </c>
      <c r="BY102">
        <v>186.9</v>
      </c>
      <c r="BZ102">
        <v>193.6</v>
      </c>
      <c r="CA102">
        <v>1</v>
      </c>
      <c r="CB102">
        <v>1</v>
      </c>
      <c r="CC102">
        <v>0</v>
      </c>
      <c r="CD102">
        <f t="shared" si="43"/>
        <v>3.460743801652888E-2</v>
      </c>
      <c r="CE102">
        <v>1</v>
      </c>
    </row>
    <row r="103" spans="1:83" x14ac:dyDescent="0.4">
      <c r="A103" t="s">
        <v>1050</v>
      </c>
      <c r="B103" t="s">
        <v>43</v>
      </c>
      <c r="C103" t="s">
        <v>82</v>
      </c>
      <c r="D103" t="s">
        <v>82</v>
      </c>
      <c r="E103" t="s">
        <v>59</v>
      </c>
      <c r="F103" t="s">
        <v>22</v>
      </c>
      <c r="G103">
        <v>30</v>
      </c>
      <c r="H103">
        <v>52</v>
      </c>
      <c r="I103">
        <v>37</v>
      </c>
      <c r="J103">
        <f t="shared" si="26"/>
        <v>-7</v>
      </c>
      <c r="K103">
        <f t="shared" si="27"/>
        <v>15</v>
      </c>
      <c r="L103">
        <v>-22</v>
      </c>
      <c r="M103">
        <v>36.75</v>
      </c>
      <c r="N103" t="s">
        <v>429</v>
      </c>
      <c r="O103" t="s">
        <v>430</v>
      </c>
      <c r="P103" t="s">
        <v>13</v>
      </c>
      <c r="Q103">
        <v>2.4</v>
      </c>
      <c r="R103" t="s">
        <v>13</v>
      </c>
      <c r="S103" t="s">
        <v>35</v>
      </c>
      <c r="T103" t="s">
        <v>17</v>
      </c>
      <c r="U103">
        <v>7.5</v>
      </c>
      <c r="V103" t="s">
        <v>14</v>
      </c>
      <c r="W103">
        <f t="shared" si="28"/>
        <v>1</v>
      </c>
      <c r="X103" t="s">
        <v>14</v>
      </c>
      <c r="Y103" t="s">
        <v>17</v>
      </c>
      <c r="Z103">
        <v>5</v>
      </c>
      <c r="AA103">
        <f t="shared" si="22"/>
        <v>3009.6764252696453</v>
      </c>
      <c r="AB103">
        <f t="shared" si="23"/>
        <v>45.208012326656387</v>
      </c>
      <c r="AC103">
        <f t="shared" si="24"/>
        <v>19.075500770416024</v>
      </c>
      <c r="AD103" t="s">
        <v>15</v>
      </c>
      <c r="AE103" t="s">
        <v>27</v>
      </c>
      <c r="AF103" t="s">
        <v>24</v>
      </c>
      <c r="AG103" t="s">
        <v>14</v>
      </c>
      <c r="AH103" t="s">
        <v>14</v>
      </c>
      <c r="AI103" t="s">
        <v>18</v>
      </c>
      <c r="AJ103" t="s">
        <v>14</v>
      </c>
      <c r="AK103" t="s">
        <v>14</v>
      </c>
      <c r="AL103" t="s">
        <v>17</v>
      </c>
      <c r="AM103">
        <f t="shared" si="25"/>
        <v>42.194955691888211</v>
      </c>
      <c r="AN103">
        <f t="shared" si="29"/>
        <v>5125.9713701431492</v>
      </c>
      <c r="AO103">
        <f t="shared" si="30"/>
        <v>2446.4212678936606</v>
      </c>
      <c r="AP103">
        <f t="shared" si="31"/>
        <v>492.02453987730064</v>
      </c>
      <c r="AQ103">
        <f t="shared" si="32"/>
        <v>1401.9086571233811</v>
      </c>
      <c r="AR103">
        <f t="shared" si="33"/>
        <v>2187.5255623721882</v>
      </c>
      <c r="AS103">
        <f t="shared" si="34"/>
        <v>4.684129429892141</v>
      </c>
      <c r="AT103">
        <f t="shared" si="35"/>
        <v>26.132511556240367</v>
      </c>
      <c r="AU103">
        <f t="shared" si="36"/>
        <v>5.3831218915396688</v>
      </c>
      <c r="AV103">
        <f t="shared" si="37"/>
        <v>27.349131625841114</v>
      </c>
      <c r="AW103">
        <f t="shared" si="38"/>
        <v>9.5986595388175218</v>
      </c>
      <c r="AX103">
        <f t="shared" si="39"/>
        <v>42.675337110029524</v>
      </c>
      <c r="AY103">
        <f t="shared" si="40"/>
        <v>1258.2114735658042</v>
      </c>
      <c r="AZ103">
        <f t="shared" si="41"/>
        <v>275.93728698023176</v>
      </c>
      <c r="BA103">
        <f t="shared" si="42"/>
        <v>57.805044308111796</v>
      </c>
      <c r="BB103" t="s">
        <v>57</v>
      </c>
      <c r="BC103" t="s">
        <v>57</v>
      </c>
      <c r="BD103">
        <v>32.450000000000003</v>
      </c>
      <c r="BE103">
        <v>14.67</v>
      </c>
      <c r="BF103">
        <v>6.19</v>
      </c>
      <c r="BG103">
        <v>8.48</v>
      </c>
      <c r="BH103">
        <v>1.52</v>
      </c>
      <c r="BI103">
        <v>97664</v>
      </c>
      <c r="BJ103">
        <v>35889</v>
      </c>
      <c r="BK103">
        <v>20566</v>
      </c>
      <c r="BL103">
        <v>1640</v>
      </c>
      <c r="BM103">
        <v>327</v>
      </c>
      <c r="BN103">
        <v>4048</v>
      </c>
      <c r="BO103">
        <v>1203</v>
      </c>
      <c r="BP103">
        <v>6724</v>
      </c>
      <c r="BQ103">
        <v>4801</v>
      </c>
      <c r="BR103">
        <v>22371</v>
      </c>
      <c r="BS103" t="s">
        <v>21</v>
      </c>
      <c r="BT103" t="s">
        <v>428</v>
      </c>
      <c r="BU103">
        <v>0</v>
      </c>
      <c r="BV103">
        <v>1.8</v>
      </c>
      <c r="BW103">
        <v>0</v>
      </c>
      <c r="BX103">
        <v>0.4</v>
      </c>
      <c r="BY103">
        <v>41.1</v>
      </c>
      <c r="BZ103">
        <v>43.1</v>
      </c>
      <c r="CA103">
        <v>10</v>
      </c>
      <c r="CB103">
        <v>10</v>
      </c>
      <c r="CC103">
        <v>0</v>
      </c>
      <c r="CD103">
        <f t="shared" si="43"/>
        <v>4.6403712296983812E-2</v>
      </c>
      <c r="CE103">
        <v>1</v>
      </c>
    </row>
    <row r="104" spans="1:83" x14ac:dyDescent="0.4">
      <c r="A104" t="s">
        <v>1051</v>
      </c>
      <c r="B104" t="s">
        <v>59</v>
      </c>
      <c r="C104" t="s">
        <v>73</v>
      </c>
      <c r="D104" t="s">
        <v>82</v>
      </c>
      <c r="E104" t="s">
        <v>59</v>
      </c>
      <c r="F104" t="s">
        <v>12</v>
      </c>
      <c r="G104">
        <v>50</v>
      </c>
      <c r="H104">
        <v>20</v>
      </c>
      <c r="I104">
        <v>9.5</v>
      </c>
      <c r="J104">
        <f t="shared" si="26"/>
        <v>40.5</v>
      </c>
      <c r="K104">
        <f t="shared" si="27"/>
        <v>10.5</v>
      </c>
      <c r="L104">
        <v>30</v>
      </c>
      <c r="M104">
        <v>9.49</v>
      </c>
      <c r="N104" t="s">
        <v>431</v>
      </c>
      <c r="O104" t="s">
        <v>432</v>
      </c>
      <c r="P104" t="s">
        <v>13</v>
      </c>
      <c r="Q104">
        <v>0.1</v>
      </c>
      <c r="R104" t="s">
        <v>13</v>
      </c>
      <c r="S104" t="s">
        <v>15</v>
      </c>
      <c r="T104" t="s">
        <v>14</v>
      </c>
      <c r="U104">
        <v>5</v>
      </c>
      <c r="V104" t="s">
        <v>14</v>
      </c>
      <c r="W104">
        <f t="shared" si="28"/>
        <v>1</v>
      </c>
      <c r="X104" t="s">
        <v>17</v>
      </c>
      <c r="Y104" t="s">
        <v>14</v>
      </c>
      <c r="Z104">
        <v>0</v>
      </c>
      <c r="AA104">
        <f t="shared" si="22"/>
        <v>4360.9759999999997</v>
      </c>
      <c r="AB104">
        <f t="shared" si="23"/>
        <v>39.048000000000002</v>
      </c>
      <c r="AC104">
        <f t="shared" si="24"/>
        <v>6.5279999999999996</v>
      </c>
      <c r="AD104" t="s">
        <v>15</v>
      </c>
      <c r="AE104" t="s">
        <v>15</v>
      </c>
      <c r="AF104" t="s">
        <v>24</v>
      </c>
      <c r="AG104" t="s">
        <v>14</v>
      </c>
      <c r="AH104" t="s">
        <v>17</v>
      </c>
      <c r="AI104" t="s">
        <v>41</v>
      </c>
      <c r="AJ104" t="s">
        <v>14</v>
      </c>
      <c r="AK104" t="s">
        <v>17</v>
      </c>
      <c r="AL104" t="s">
        <v>17</v>
      </c>
      <c r="AM104">
        <f t="shared" si="25"/>
        <v>16.717885679164105</v>
      </c>
      <c r="AN104">
        <f t="shared" si="29"/>
        <v>4720.0778528989958</v>
      </c>
      <c r="AO104">
        <f t="shared" si="30"/>
        <v>1059.4755173120261</v>
      </c>
      <c r="AP104">
        <f t="shared" si="31"/>
        <v>1274.2880557262856</v>
      </c>
      <c r="AQ104">
        <f t="shared" si="32"/>
        <v>2143.9049375128047</v>
      </c>
      <c r="AR104">
        <f t="shared" si="33"/>
        <v>2386.3142798606841</v>
      </c>
      <c r="AS104">
        <f t="shared" si="34"/>
        <v>0.86399999999999999</v>
      </c>
      <c r="AT104">
        <f t="shared" si="35"/>
        <v>32.512</v>
      </c>
      <c r="AU104">
        <f t="shared" si="36"/>
        <v>20.53240851263309</v>
      </c>
      <c r="AV104">
        <f t="shared" si="37"/>
        <v>45.420965592676673</v>
      </c>
      <c r="AW104">
        <f t="shared" si="38"/>
        <v>26.997183000776953</v>
      </c>
      <c r="AX104">
        <f t="shared" si="39"/>
        <v>50.556672034446386</v>
      </c>
      <c r="AY104">
        <f t="shared" si="40"/>
        <v>4124.0320252001575</v>
      </c>
      <c r="AZ104">
        <f t="shared" si="41"/>
        <v>969.14566687154263</v>
      </c>
      <c r="BA104">
        <f t="shared" si="42"/>
        <v>83.261626715836911</v>
      </c>
      <c r="BB104" t="s">
        <v>48</v>
      </c>
      <c r="BC104" t="s">
        <v>48</v>
      </c>
      <c r="BD104">
        <v>125</v>
      </c>
      <c r="BE104">
        <v>48.81</v>
      </c>
      <c r="BF104">
        <v>8.16</v>
      </c>
      <c r="BG104">
        <v>40.64</v>
      </c>
      <c r="BH104">
        <v>1.08</v>
      </c>
      <c r="BI104">
        <v>545122</v>
      </c>
      <c r="BJ104">
        <v>51713</v>
      </c>
      <c r="BK104">
        <v>104644</v>
      </c>
      <c r="BL104">
        <v>7426</v>
      </c>
      <c r="BM104">
        <v>2339</v>
      </c>
      <c r="BN104">
        <v>47304</v>
      </c>
      <c r="BO104">
        <v>5129</v>
      </c>
      <c r="BP104">
        <v>5241</v>
      </c>
      <c r="BQ104">
        <v>6591</v>
      </c>
      <c r="BR104">
        <v>314210</v>
      </c>
      <c r="BS104" t="s">
        <v>21</v>
      </c>
      <c r="BT104" t="s">
        <v>370</v>
      </c>
      <c r="BU104">
        <v>0.1</v>
      </c>
      <c r="BV104">
        <v>0.1</v>
      </c>
      <c r="BW104">
        <v>7.2</v>
      </c>
      <c r="BX104">
        <v>1.7</v>
      </c>
      <c r="BY104">
        <v>133.6</v>
      </c>
      <c r="BZ104">
        <v>147.1</v>
      </c>
      <c r="CA104">
        <v>8</v>
      </c>
      <c r="CB104">
        <v>8</v>
      </c>
      <c r="CC104">
        <v>0</v>
      </c>
      <c r="CD104">
        <f t="shared" si="43"/>
        <v>9.1774303195105378E-2</v>
      </c>
      <c r="CE104">
        <v>1</v>
      </c>
    </row>
    <row r="105" spans="1:83" x14ac:dyDescent="0.4">
      <c r="A105" t="s">
        <v>1052</v>
      </c>
      <c r="B105" t="s">
        <v>43</v>
      </c>
      <c r="C105" t="s">
        <v>82</v>
      </c>
      <c r="D105" t="s">
        <v>82</v>
      </c>
      <c r="E105" t="s">
        <v>59</v>
      </c>
      <c r="F105" t="s">
        <v>22</v>
      </c>
      <c r="G105">
        <v>60</v>
      </c>
      <c r="H105">
        <v>70</v>
      </c>
      <c r="I105">
        <v>42</v>
      </c>
      <c r="J105">
        <f t="shared" si="26"/>
        <v>18</v>
      </c>
      <c r="K105">
        <f t="shared" si="27"/>
        <v>28</v>
      </c>
      <c r="L105">
        <v>-10</v>
      </c>
      <c r="M105">
        <v>42.21</v>
      </c>
      <c r="N105" t="s">
        <v>433</v>
      </c>
      <c r="O105" t="s">
        <v>434</v>
      </c>
      <c r="P105" t="s">
        <v>13</v>
      </c>
      <c r="Q105">
        <v>3.7</v>
      </c>
      <c r="R105" t="s">
        <v>26</v>
      </c>
      <c r="S105" t="s">
        <v>35</v>
      </c>
      <c r="T105" t="s">
        <v>17</v>
      </c>
      <c r="U105">
        <v>12.5</v>
      </c>
      <c r="V105" t="s">
        <v>17</v>
      </c>
      <c r="W105">
        <f t="shared" si="28"/>
        <v>1</v>
      </c>
      <c r="X105" t="s">
        <v>14</v>
      </c>
      <c r="Y105" t="s">
        <v>14</v>
      </c>
      <c r="Z105">
        <v>10</v>
      </c>
      <c r="AA105">
        <f t="shared" si="22"/>
        <v>1476.9558359621451</v>
      </c>
      <c r="AB105">
        <f t="shared" si="23"/>
        <v>36.088328075709782</v>
      </c>
      <c r="AC105">
        <f t="shared" si="24"/>
        <v>18.958990536277604</v>
      </c>
      <c r="AD105" t="s">
        <v>15</v>
      </c>
      <c r="AE105" t="s">
        <v>15</v>
      </c>
      <c r="AF105" t="s">
        <v>18</v>
      </c>
      <c r="AG105" t="s">
        <v>14</v>
      </c>
      <c r="AH105" t="s">
        <v>14</v>
      </c>
      <c r="AI105" t="s">
        <v>18</v>
      </c>
      <c r="AJ105" t="s">
        <v>14</v>
      </c>
      <c r="AK105" t="s">
        <v>14</v>
      </c>
      <c r="AL105" t="s">
        <v>14</v>
      </c>
      <c r="AM105">
        <f t="shared" si="25"/>
        <v>52.53496503496504</v>
      </c>
      <c r="AN105">
        <f t="shared" si="29"/>
        <v>2768.8374125874129</v>
      </c>
      <c r="AO105">
        <f t="shared" si="30"/>
        <v>1727.5349650349651</v>
      </c>
      <c r="AP105">
        <f t="shared" si="31"/>
        <v>171.63461538461539</v>
      </c>
      <c r="AQ105">
        <f t="shared" si="32"/>
        <v>563.98601398601397</v>
      </c>
      <c r="AR105">
        <f t="shared" si="33"/>
        <v>869.66783216783222</v>
      </c>
      <c r="AS105">
        <f t="shared" si="34"/>
        <v>2.8391167192429023</v>
      </c>
      <c r="AT105">
        <f t="shared" si="35"/>
        <v>17.129337539432179</v>
      </c>
      <c r="AU105">
        <f t="shared" si="36"/>
        <v>2.9660147432558288</v>
      </c>
      <c r="AV105">
        <f t="shared" si="37"/>
        <v>20.369054947830342</v>
      </c>
      <c r="AW105">
        <f t="shared" si="38"/>
        <v>6.1987971776293982</v>
      </c>
      <c r="AX105">
        <f t="shared" si="39"/>
        <v>31.409133241779923</v>
      </c>
      <c r="AY105">
        <f t="shared" si="40"/>
        <v>747.01382033563675</v>
      </c>
      <c r="AZ105">
        <f t="shared" si="41"/>
        <v>82.12412587412588</v>
      </c>
      <c r="BA105">
        <f t="shared" si="42"/>
        <v>47.465034965034967</v>
      </c>
      <c r="BB105" t="s">
        <v>28</v>
      </c>
      <c r="BC105" t="s">
        <v>28</v>
      </c>
      <c r="BD105">
        <v>63.4</v>
      </c>
      <c r="BE105">
        <v>22.88</v>
      </c>
      <c r="BF105">
        <v>12.02</v>
      </c>
      <c r="BG105">
        <v>10.86</v>
      </c>
      <c r="BH105">
        <v>1.8</v>
      </c>
      <c r="BI105">
        <v>93639</v>
      </c>
      <c r="BJ105">
        <v>39526</v>
      </c>
      <c r="BK105">
        <v>12904</v>
      </c>
      <c r="BL105">
        <v>1409</v>
      </c>
      <c r="BM105">
        <v>289</v>
      </c>
      <c r="BN105">
        <v>1879</v>
      </c>
      <c r="BO105">
        <v>350</v>
      </c>
      <c r="BP105">
        <v>3657</v>
      </c>
      <c r="BQ105">
        <v>3337</v>
      </c>
      <c r="BR105">
        <v>30269</v>
      </c>
      <c r="BS105" t="s">
        <v>21</v>
      </c>
      <c r="BT105" t="s">
        <v>380</v>
      </c>
      <c r="BU105">
        <v>0.3</v>
      </c>
      <c r="BV105">
        <v>6.7</v>
      </c>
      <c r="BW105">
        <v>0.2</v>
      </c>
      <c r="BX105">
        <v>0.9</v>
      </c>
      <c r="BY105">
        <v>95.9</v>
      </c>
      <c r="BZ105">
        <v>108.7</v>
      </c>
      <c r="CA105">
        <v>4</v>
      </c>
      <c r="CB105">
        <v>4</v>
      </c>
      <c r="CC105">
        <v>0</v>
      </c>
      <c r="CD105">
        <f t="shared" si="43"/>
        <v>0.11775528978840843</v>
      </c>
      <c r="CE105">
        <v>1</v>
      </c>
    </row>
    <row r="106" spans="1:83" x14ac:dyDescent="0.4">
      <c r="A106" t="s">
        <v>1053</v>
      </c>
      <c r="B106" t="s">
        <v>59</v>
      </c>
      <c r="C106" t="s">
        <v>73</v>
      </c>
      <c r="D106" t="s">
        <v>82</v>
      </c>
      <c r="E106" t="s">
        <v>59</v>
      </c>
      <c r="F106" t="s">
        <v>22</v>
      </c>
      <c r="G106">
        <v>70</v>
      </c>
      <c r="H106">
        <v>46</v>
      </c>
      <c r="I106">
        <v>42.5</v>
      </c>
      <c r="J106">
        <f t="shared" si="26"/>
        <v>27.5</v>
      </c>
      <c r="K106">
        <f t="shared" si="27"/>
        <v>3.5</v>
      </c>
      <c r="L106">
        <v>24</v>
      </c>
      <c r="M106">
        <v>42.47</v>
      </c>
      <c r="N106" t="s">
        <v>435</v>
      </c>
      <c r="O106" t="s">
        <v>436</v>
      </c>
      <c r="P106" t="s">
        <v>13</v>
      </c>
      <c r="Q106">
        <v>2</v>
      </c>
      <c r="R106" t="s">
        <v>26</v>
      </c>
      <c r="S106" t="s">
        <v>15</v>
      </c>
      <c r="T106" t="s">
        <v>14</v>
      </c>
      <c r="U106">
        <v>2.5</v>
      </c>
      <c r="V106" t="s">
        <v>14</v>
      </c>
      <c r="W106">
        <f t="shared" si="28"/>
        <v>1</v>
      </c>
      <c r="X106" t="s">
        <v>14</v>
      </c>
      <c r="Y106" t="s">
        <v>14</v>
      </c>
      <c r="Z106">
        <v>0</v>
      </c>
      <c r="AA106">
        <f t="shared" si="22"/>
        <v>3016.5708025198578</v>
      </c>
      <c r="AB106">
        <f t="shared" si="23"/>
        <v>64.557655436866611</v>
      </c>
      <c r="AC106">
        <f t="shared" si="24"/>
        <v>28.430566967953986</v>
      </c>
      <c r="AD106" t="s">
        <v>15</v>
      </c>
      <c r="AE106" t="s">
        <v>15</v>
      </c>
      <c r="AF106" t="s">
        <v>18</v>
      </c>
      <c r="AG106" t="s">
        <v>14</v>
      </c>
      <c r="AH106" t="s">
        <v>14</v>
      </c>
      <c r="AI106" t="s">
        <v>14</v>
      </c>
      <c r="AJ106" t="s">
        <v>14</v>
      </c>
      <c r="AK106" t="s">
        <v>14</v>
      </c>
      <c r="AL106" t="s">
        <v>14</v>
      </c>
      <c r="AM106">
        <f t="shared" si="25"/>
        <v>44.039032668646584</v>
      </c>
      <c r="AN106">
        <f t="shared" si="29"/>
        <v>3559.015697921086</v>
      </c>
      <c r="AO106">
        <f t="shared" si="30"/>
        <v>1984.2596521001274</v>
      </c>
      <c r="AP106">
        <f t="shared" si="31"/>
        <v>77.81077641069156</v>
      </c>
      <c r="AQ106">
        <f t="shared" si="32"/>
        <v>1213.1947390750954</v>
      </c>
      <c r="AR106">
        <f t="shared" si="33"/>
        <v>1496.9452694102672</v>
      </c>
      <c r="AS106">
        <f t="shared" si="34"/>
        <v>0.54779512462339086</v>
      </c>
      <c r="AT106">
        <f t="shared" si="35"/>
        <v>36.099698712681459</v>
      </c>
      <c r="AU106">
        <f t="shared" si="36"/>
        <v>1.4042867701404287</v>
      </c>
      <c r="AV106">
        <f t="shared" si="37"/>
        <v>34.087928855828146</v>
      </c>
      <c r="AW106">
        <f t="shared" si="38"/>
        <v>2.1863004553799206</v>
      </c>
      <c r="AX106">
        <f t="shared" si="39"/>
        <v>42.060653744367357</v>
      </c>
      <c r="AY106">
        <f t="shared" si="40"/>
        <v>2026.429675425039</v>
      </c>
      <c r="AZ106">
        <f t="shared" si="41"/>
        <v>49.978786593126856</v>
      </c>
      <c r="BA106">
        <f t="shared" si="42"/>
        <v>55.918540517607127</v>
      </c>
      <c r="BB106" t="s">
        <v>29</v>
      </c>
      <c r="BC106" t="s">
        <v>29</v>
      </c>
      <c r="BD106">
        <v>36.51</v>
      </c>
      <c r="BE106">
        <v>23.57</v>
      </c>
      <c r="BF106">
        <v>10.38</v>
      </c>
      <c r="BG106">
        <v>13.18</v>
      </c>
      <c r="BH106">
        <v>0.2</v>
      </c>
      <c r="BI106">
        <v>110135</v>
      </c>
      <c r="BJ106">
        <v>46769</v>
      </c>
      <c r="BK106">
        <v>28595</v>
      </c>
      <c r="BL106">
        <v>431</v>
      </c>
      <c r="BM106">
        <v>68</v>
      </c>
      <c r="BN106">
        <v>1178</v>
      </c>
      <c r="BO106">
        <v>157</v>
      </c>
      <c r="BP106">
        <v>1931</v>
      </c>
      <c r="BQ106">
        <v>4757</v>
      </c>
      <c r="BR106">
        <v>26222</v>
      </c>
      <c r="BS106" t="s">
        <v>21</v>
      </c>
      <c r="BT106" t="s">
        <v>202</v>
      </c>
      <c r="BU106">
        <v>0.1</v>
      </c>
      <c r="BV106">
        <v>0.1</v>
      </c>
      <c r="BW106">
        <v>0</v>
      </c>
      <c r="BX106">
        <v>0</v>
      </c>
      <c r="BY106">
        <v>48.7</v>
      </c>
      <c r="BZ106">
        <v>49.8</v>
      </c>
      <c r="CA106">
        <v>5</v>
      </c>
      <c r="CB106">
        <v>5</v>
      </c>
      <c r="CC106">
        <v>0</v>
      </c>
      <c r="CD106">
        <f t="shared" si="43"/>
        <v>2.208835341365456E-2</v>
      </c>
      <c r="CE106">
        <v>1</v>
      </c>
    </row>
    <row r="107" spans="1:83" x14ac:dyDescent="0.4">
      <c r="A107" t="s">
        <v>1054</v>
      </c>
      <c r="B107" t="s">
        <v>49</v>
      </c>
      <c r="C107" t="s">
        <v>82</v>
      </c>
      <c r="D107" t="s">
        <v>82</v>
      </c>
      <c r="E107" t="s">
        <v>62</v>
      </c>
      <c r="F107" t="s">
        <v>12</v>
      </c>
      <c r="G107">
        <v>40</v>
      </c>
      <c r="H107">
        <v>28</v>
      </c>
      <c r="I107">
        <v>9.5</v>
      </c>
      <c r="J107">
        <f t="shared" si="26"/>
        <v>30.5</v>
      </c>
      <c r="K107">
        <f t="shared" si="27"/>
        <v>18.5</v>
      </c>
      <c r="L107">
        <v>12</v>
      </c>
      <c r="M107">
        <v>9.4</v>
      </c>
      <c r="N107" t="s">
        <v>437</v>
      </c>
      <c r="O107" t="s">
        <v>438</v>
      </c>
      <c r="P107" t="s">
        <v>13</v>
      </c>
      <c r="Q107">
        <v>0.2</v>
      </c>
      <c r="R107" t="s">
        <v>13</v>
      </c>
      <c r="S107" t="s">
        <v>15</v>
      </c>
      <c r="T107" t="s">
        <v>14</v>
      </c>
      <c r="U107">
        <v>0</v>
      </c>
      <c r="V107" t="s">
        <v>14</v>
      </c>
      <c r="W107">
        <f t="shared" si="28"/>
        <v>0.5</v>
      </c>
      <c r="X107" t="s">
        <v>14</v>
      </c>
      <c r="Y107" t="s">
        <v>14</v>
      </c>
      <c r="Z107">
        <v>0</v>
      </c>
      <c r="AA107">
        <f t="shared" si="22"/>
        <v>3983.932804287334</v>
      </c>
      <c r="AB107">
        <f t="shared" si="23"/>
        <v>17.499742347727508</v>
      </c>
      <c r="AC107">
        <f t="shared" si="24"/>
        <v>7.2657940843038231</v>
      </c>
      <c r="AD107" t="s">
        <v>15</v>
      </c>
      <c r="AE107" t="s">
        <v>27</v>
      </c>
      <c r="AF107" t="s">
        <v>18</v>
      </c>
      <c r="AG107" t="s">
        <v>14</v>
      </c>
      <c r="AH107" t="s">
        <v>14</v>
      </c>
      <c r="AI107" t="s">
        <v>18</v>
      </c>
      <c r="AJ107" t="s">
        <v>14</v>
      </c>
      <c r="AK107" t="s">
        <v>14</v>
      </c>
      <c r="AL107" t="s">
        <v>14</v>
      </c>
      <c r="AM107">
        <f t="shared" si="25"/>
        <v>41.519434628975262</v>
      </c>
      <c r="AN107">
        <f t="shared" si="29"/>
        <v>4825.0294464075378</v>
      </c>
      <c r="AO107">
        <f t="shared" si="30"/>
        <v>2140.5771495877502</v>
      </c>
      <c r="AP107">
        <f t="shared" si="31"/>
        <v>1314.9587750294463</v>
      </c>
      <c r="AQ107">
        <f t="shared" si="32"/>
        <v>1218.6101295641931</v>
      </c>
      <c r="AR107">
        <f t="shared" si="33"/>
        <v>1369.4935217903414</v>
      </c>
      <c r="AS107">
        <f t="shared" si="34"/>
        <v>0.29887663609193027</v>
      </c>
      <c r="AT107">
        <f t="shared" si="35"/>
        <v>10.233948263423683</v>
      </c>
      <c r="AU107">
        <f t="shared" si="36"/>
        <v>9.4581894079019637</v>
      </c>
      <c r="AV107">
        <f t="shared" si="37"/>
        <v>25.256014353891786</v>
      </c>
      <c r="AW107">
        <f t="shared" si="38"/>
        <v>27.25286528579624</v>
      </c>
      <c r="AX107">
        <f t="shared" si="39"/>
        <v>28.383112206910862</v>
      </c>
      <c r="AY107">
        <f t="shared" si="40"/>
        <v>3801.4241099312931</v>
      </c>
      <c r="AZ107">
        <f t="shared" si="41"/>
        <v>456.36042402826854</v>
      </c>
      <c r="BA107">
        <f t="shared" si="42"/>
        <v>58.480565371024731</v>
      </c>
      <c r="BB107" t="s">
        <v>31</v>
      </c>
      <c r="BC107" t="s">
        <v>16</v>
      </c>
      <c r="BD107">
        <v>97.03</v>
      </c>
      <c r="BE107">
        <v>16.98</v>
      </c>
      <c r="BF107">
        <v>7.05</v>
      </c>
      <c r="BG107">
        <v>9.93</v>
      </c>
      <c r="BH107">
        <v>0.28999999999999998</v>
      </c>
      <c r="BI107">
        <v>386561</v>
      </c>
      <c r="BJ107">
        <v>36347</v>
      </c>
      <c r="BK107">
        <v>20692</v>
      </c>
      <c r="BL107">
        <v>11109</v>
      </c>
      <c r="BM107">
        <v>374</v>
      </c>
      <c r="BN107">
        <v>7749</v>
      </c>
      <c r="BO107">
        <v>3096</v>
      </c>
      <c r="BP107">
        <v>1802</v>
      </c>
      <c r="BQ107">
        <v>760</v>
      </c>
      <c r="BR107">
        <v>304304</v>
      </c>
      <c r="BS107" t="s">
        <v>21</v>
      </c>
      <c r="BT107" t="s">
        <v>341</v>
      </c>
      <c r="BU107">
        <v>0</v>
      </c>
      <c r="BV107">
        <v>0</v>
      </c>
      <c r="BW107">
        <v>0</v>
      </c>
      <c r="BX107">
        <v>0</v>
      </c>
      <c r="BY107">
        <v>110.5</v>
      </c>
      <c r="BZ107">
        <v>110.8</v>
      </c>
      <c r="CA107">
        <v>2</v>
      </c>
      <c r="CB107">
        <v>1</v>
      </c>
      <c r="CC107">
        <v>0</v>
      </c>
      <c r="CD107">
        <f t="shared" si="43"/>
        <v>2.7075812274367506E-3</v>
      </c>
      <c r="CE107">
        <v>0.5</v>
      </c>
    </row>
    <row r="108" spans="1:83" x14ac:dyDescent="0.4">
      <c r="A108" t="s">
        <v>1055</v>
      </c>
      <c r="B108" t="s">
        <v>19</v>
      </c>
      <c r="C108" t="s">
        <v>19</v>
      </c>
      <c r="D108" t="s">
        <v>19</v>
      </c>
      <c r="E108" t="s">
        <v>62</v>
      </c>
      <c r="F108" t="s">
        <v>22</v>
      </c>
      <c r="G108">
        <v>80</v>
      </c>
      <c r="H108">
        <v>62</v>
      </c>
      <c r="I108">
        <v>68.5</v>
      </c>
      <c r="J108">
        <f t="shared" si="26"/>
        <v>11.5</v>
      </c>
      <c r="K108">
        <f t="shared" si="27"/>
        <v>-6.5</v>
      </c>
      <c r="L108">
        <v>18</v>
      </c>
      <c r="M108">
        <v>68.56</v>
      </c>
      <c r="N108" t="s">
        <v>439</v>
      </c>
      <c r="O108" t="s">
        <v>440</v>
      </c>
      <c r="P108" t="s">
        <v>13</v>
      </c>
      <c r="Q108">
        <v>0</v>
      </c>
      <c r="R108" t="s">
        <v>13</v>
      </c>
      <c r="S108" t="s">
        <v>15</v>
      </c>
      <c r="T108" t="s">
        <v>14</v>
      </c>
      <c r="U108">
        <v>5</v>
      </c>
      <c r="V108" t="s">
        <v>14</v>
      </c>
      <c r="W108">
        <f t="shared" si="28"/>
        <v>1</v>
      </c>
      <c r="X108" t="s">
        <v>14</v>
      </c>
      <c r="Y108" t="s">
        <v>14</v>
      </c>
      <c r="Z108">
        <v>0</v>
      </c>
      <c r="AA108">
        <f t="shared" si="22"/>
        <v>4284.7368421052633</v>
      </c>
      <c r="AB108">
        <f t="shared" si="23"/>
        <v>93.684210526315795</v>
      </c>
      <c r="AC108">
        <f t="shared" si="24"/>
        <v>40.789473684210527</v>
      </c>
      <c r="AD108" t="s">
        <v>15</v>
      </c>
      <c r="AE108" t="s">
        <v>15</v>
      </c>
      <c r="AF108" t="s">
        <v>18</v>
      </c>
      <c r="AG108" t="s">
        <v>14</v>
      </c>
      <c r="AH108" t="s">
        <v>14</v>
      </c>
      <c r="AI108" t="s">
        <v>14</v>
      </c>
      <c r="AJ108" t="s">
        <v>14</v>
      </c>
      <c r="AK108" t="s">
        <v>14</v>
      </c>
      <c r="AL108" t="s">
        <v>14</v>
      </c>
      <c r="AM108">
        <f t="shared" si="25"/>
        <v>43.539325842696627</v>
      </c>
      <c r="AN108">
        <f t="shared" si="29"/>
        <v>4378.651685393258</v>
      </c>
      <c r="AO108">
        <f t="shared" si="30"/>
        <v>3135.6741573033705</v>
      </c>
      <c r="AP108">
        <f t="shared" si="31"/>
        <v>212.92134831460675</v>
      </c>
      <c r="AQ108">
        <f t="shared" si="32"/>
        <v>838.48314606741576</v>
      </c>
      <c r="AR108">
        <f t="shared" si="33"/>
        <v>1030.056179775281</v>
      </c>
      <c r="AS108">
        <f t="shared" si="34"/>
        <v>2.3684210526315792</v>
      </c>
      <c r="AT108">
        <f t="shared" si="35"/>
        <v>52.89473684210526</v>
      </c>
      <c r="AU108">
        <f t="shared" si="36"/>
        <v>2.7521170130869899</v>
      </c>
      <c r="AV108">
        <f t="shared" si="37"/>
        <v>19.149345650500386</v>
      </c>
      <c r="AW108">
        <f t="shared" si="38"/>
        <v>4.8627149089042856</v>
      </c>
      <c r="AX108">
        <f t="shared" si="39"/>
        <v>23.524506030279703</v>
      </c>
      <c r="AY108">
        <f t="shared" si="40"/>
        <v>2866.6666666666692</v>
      </c>
      <c r="AZ108">
        <f t="shared" si="41"/>
        <v>120.50561797752809</v>
      </c>
      <c r="BA108">
        <f t="shared" si="42"/>
        <v>56.460674157303359</v>
      </c>
      <c r="BB108" t="s">
        <v>30</v>
      </c>
      <c r="BC108" t="s">
        <v>30</v>
      </c>
      <c r="BD108">
        <v>3.8</v>
      </c>
      <c r="BE108">
        <v>3.56</v>
      </c>
      <c r="BF108">
        <v>1.55</v>
      </c>
      <c r="BG108">
        <v>2.0099999999999998</v>
      </c>
      <c r="BH108">
        <v>0.09</v>
      </c>
      <c r="BI108">
        <v>16282</v>
      </c>
      <c r="BJ108">
        <v>11163</v>
      </c>
      <c r="BK108">
        <v>2985</v>
      </c>
      <c r="BL108">
        <v>148</v>
      </c>
      <c r="BM108">
        <v>38</v>
      </c>
      <c r="BN108">
        <v>429</v>
      </c>
      <c r="BO108">
        <v>143</v>
      </c>
      <c r="BP108">
        <v>274</v>
      </c>
      <c r="BQ108">
        <v>408</v>
      </c>
      <c r="BR108">
        <v>688</v>
      </c>
      <c r="BS108" t="s">
        <v>21</v>
      </c>
      <c r="BT108" t="s">
        <v>151</v>
      </c>
      <c r="BU108">
        <v>0</v>
      </c>
      <c r="BV108">
        <v>0</v>
      </c>
      <c r="BW108">
        <v>0</v>
      </c>
      <c r="BX108">
        <v>0</v>
      </c>
      <c r="BY108">
        <v>4.5</v>
      </c>
      <c r="BZ108">
        <v>4.5</v>
      </c>
      <c r="CA108">
        <v>3</v>
      </c>
      <c r="CB108">
        <v>3</v>
      </c>
      <c r="CC108">
        <v>0</v>
      </c>
      <c r="CD108">
        <f t="shared" si="43"/>
        <v>0</v>
      </c>
      <c r="CE108">
        <v>1</v>
      </c>
    </row>
    <row r="109" spans="1:83" x14ac:dyDescent="0.4">
      <c r="A109" t="s">
        <v>1056</v>
      </c>
      <c r="B109" t="s">
        <v>25</v>
      </c>
      <c r="C109" t="s">
        <v>82</v>
      </c>
      <c r="D109" t="s">
        <v>82</v>
      </c>
      <c r="E109" t="s">
        <v>62</v>
      </c>
      <c r="F109" t="s">
        <v>22</v>
      </c>
      <c r="G109">
        <v>20</v>
      </c>
      <c r="H109">
        <v>26</v>
      </c>
      <c r="I109">
        <v>24</v>
      </c>
      <c r="J109">
        <f t="shared" si="26"/>
        <v>-4</v>
      </c>
      <c r="K109">
        <f t="shared" si="27"/>
        <v>2</v>
      </c>
      <c r="L109">
        <v>-6</v>
      </c>
      <c r="M109">
        <v>23.9</v>
      </c>
      <c r="N109" t="s">
        <v>132</v>
      </c>
      <c r="O109" t="s">
        <v>442</v>
      </c>
      <c r="P109" t="s">
        <v>13</v>
      </c>
      <c r="Q109">
        <v>0.2</v>
      </c>
      <c r="R109" t="s">
        <v>13</v>
      </c>
      <c r="S109" t="s">
        <v>15</v>
      </c>
      <c r="T109" t="s">
        <v>14</v>
      </c>
      <c r="U109">
        <v>0</v>
      </c>
      <c r="V109" t="s">
        <v>14</v>
      </c>
      <c r="W109">
        <f t="shared" si="28"/>
        <v>1</v>
      </c>
      <c r="X109" t="s">
        <v>14</v>
      </c>
      <c r="Y109" t="s">
        <v>14</v>
      </c>
      <c r="Z109">
        <v>0</v>
      </c>
      <c r="AA109">
        <f t="shared" si="22"/>
        <v>5276.1923847695389</v>
      </c>
      <c r="AB109">
        <f t="shared" si="23"/>
        <v>88.056112224448896</v>
      </c>
      <c r="AC109">
        <f t="shared" si="24"/>
        <v>15.470941883767535</v>
      </c>
      <c r="AD109" t="s">
        <v>15</v>
      </c>
      <c r="AE109" t="s">
        <v>15</v>
      </c>
      <c r="AF109" t="s">
        <v>24</v>
      </c>
      <c r="AG109" t="s">
        <v>14</v>
      </c>
      <c r="AH109" t="s">
        <v>14</v>
      </c>
      <c r="AI109" t="s">
        <v>14</v>
      </c>
      <c r="AJ109" t="s">
        <v>14</v>
      </c>
      <c r="AK109" t="s">
        <v>14</v>
      </c>
      <c r="AL109" t="s">
        <v>14</v>
      </c>
      <c r="AM109">
        <f t="shared" si="25"/>
        <v>17.569412835685025</v>
      </c>
      <c r="AN109">
        <f t="shared" si="29"/>
        <v>5424.7610377787896</v>
      </c>
      <c r="AO109">
        <f t="shared" si="30"/>
        <v>1431.8161128812017</v>
      </c>
      <c r="AP109">
        <f t="shared" si="31"/>
        <v>620.30040964952207</v>
      </c>
      <c r="AQ109">
        <f t="shared" si="32"/>
        <v>3266.044606281293</v>
      </c>
      <c r="AR109">
        <f t="shared" si="33"/>
        <v>3372.6445152480655</v>
      </c>
      <c r="AS109">
        <f t="shared" si="34"/>
        <v>0.68136272545090182</v>
      </c>
      <c r="AT109">
        <f t="shared" si="35"/>
        <v>72.585170340681358</v>
      </c>
      <c r="AU109">
        <f t="shared" si="36"/>
        <v>8.2185229313151318</v>
      </c>
      <c r="AV109">
        <f t="shared" si="37"/>
        <v>60.206239197194208</v>
      </c>
      <c r="AW109">
        <f t="shared" si="38"/>
        <v>11.434612609286637</v>
      </c>
      <c r="AX109">
        <f t="shared" si="39"/>
        <v>62.171301035391252</v>
      </c>
      <c r="AY109">
        <f t="shared" si="40"/>
        <v>3909.0604026845631</v>
      </c>
      <c r="AZ109">
        <f t="shared" si="41"/>
        <v>445.83522985889851</v>
      </c>
      <c r="BA109">
        <f t="shared" si="42"/>
        <v>82.430587164314986</v>
      </c>
      <c r="BB109" t="s">
        <v>31</v>
      </c>
      <c r="BC109" t="s">
        <v>31</v>
      </c>
      <c r="BD109">
        <v>24.95</v>
      </c>
      <c r="BE109">
        <v>21.97</v>
      </c>
      <c r="BF109">
        <v>3.86</v>
      </c>
      <c r="BG109">
        <v>18.11</v>
      </c>
      <c r="BH109">
        <v>0.17</v>
      </c>
      <c r="BI109">
        <v>131641</v>
      </c>
      <c r="BJ109">
        <v>31457</v>
      </c>
      <c r="BK109">
        <v>71755</v>
      </c>
      <c r="BL109">
        <v>1653</v>
      </c>
      <c r="BM109">
        <v>492</v>
      </c>
      <c r="BN109">
        <v>9795</v>
      </c>
      <c r="BO109">
        <v>1688</v>
      </c>
      <c r="BP109">
        <v>2122</v>
      </c>
      <c r="BQ109">
        <v>220</v>
      </c>
      <c r="BR109">
        <v>11649</v>
      </c>
      <c r="BS109" t="s">
        <v>21</v>
      </c>
      <c r="BT109" t="s">
        <v>441</v>
      </c>
      <c r="BU109">
        <v>0</v>
      </c>
      <c r="BV109">
        <v>0</v>
      </c>
      <c r="BW109">
        <v>1.4</v>
      </c>
      <c r="BX109">
        <v>0.2</v>
      </c>
      <c r="BY109">
        <v>25.6</v>
      </c>
      <c r="BZ109">
        <v>26.1</v>
      </c>
      <c r="CA109">
        <v>2</v>
      </c>
      <c r="CB109">
        <v>2</v>
      </c>
      <c r="CC109">
        <v>0</v>
      </c>
      <c r="CD109">
        <f t="shared" si="43"/>
        <v>1.9157088122605415E-2</v>
      </c>
      <c r="CE109">
        <v>1</v>
      </c>
    </row>
    <row r="110" spans="1:83" x14ac:dyDescent="0.4">
      <c r="A110" t="s">
        <v>1057</v>
      </c>
      <c r="B110" t="s">
        <v>62</v>
      </c>
      <c r="C110" t="s">
        <v>73</v>
      </c>
      <c r="D110" t="s">
        <v>82</v>
      </c>
      <c r="E110" t="s">
        <v>62</v>
      </c>
      <c r="F110" t="s">
        <v>12</v>
      </c>
      <c r="G110">
        <v>30</v>
      </c>
      <c r="H110">
        <v>42</v>
      </c>
      <c r="I110">
        <v>20</v>
      </c>
      <c r="J110">
        <f t="shared" si="26"/>
        <v>10</v>
      </c>
      <c r="K110">
        <f t="shared" si="27"/>
        <v>22</v>
      </c>
      <c r="L110">
        <v>-12</v>
      </c>
      <c r="M110">
        <v>19.8</v>
      </c>
      <c r="N110" t="s">
        <v>443</v>
      </c>
      <c r="O110" t="s">
        <v>444</v>
      </c>
      <c r="P110" t="s">
        <v>13</v>
      </c>
      <c r="Q110">
        <v>0.1</v>
      </c>
      <c r="R110" t="s">
        <v>13</v>
      </c>
      <c r="S110" t="s">
        <v>15</v>
      </c>
      <c r="T110" t="s">
        <v>14</v>
      </c>
      <c r="U110">
        <v>0</v>
      </c>
      <c r="V110" t="s">
        <v>14</v>
      </c>
      <c r="W110">
        <f t="shared" si="28"/>
        <v>1</v>
      </c>
      <c r="X110" t="s">
        <v>17</v>
      </c>
      <c r="Y110" t="s">
        <v>14</v>
      </c>
      <c r="Z110">
        <v>0</v>
      </c>
      <c r="AA110">
        <f t="shared" si="22"/>
        <v>2198.6971353417453</v>
      </c>
      <c r="AB110">
        <f t="shared" si="23"/>
        <v>74.181085857547984</v>
      </c>
      <c r="AC110">
        <f t="shared" si="24"/>
        <v>8.4788952365295298</v>
      </c>
      <c r="AD110" t="s">
        <v>15</v>
      </c>
      <c r="AE110" t="s">
        <v>15</v>
      </c>
      <c r="AF110" t="s">
        <v>24</v>
      </c>
      <c r="AG110" t="s">
        <v>14</v>
      </c>
      <c r="AH110" t="s">
        <v>14</v>
      </c>
      <c r="AI110" t="s">
        <v>14</v>
      </c>
      <c r="AJ110" t="s">
        <v>14</v>
      </c>
      <c r="AK110" t="s">
        <v>14</v>
      </c>
      <c r="AL110" t="s">
        <v>14</v>
      </c>
      <c r="AM110">
        <f t="shared" si="25"/>
        <v>11.42999612166879</v>
      </c>
      <c r="AN110">
        <f t="shared" si="29"/>
        <v>2092.320904205219</v>
      </c>
      <c r="AO110">
        <f t="shared" si="30"/>
        <v>586.84137625353208</v>
      </c>
      <c r="AP110">
        <f t="shared" si="31"/>
        <v>177.17325059560085</v>
      </c>
      <c r="AQ110">
        <f t="shared" si="32"/>
        <v>1269.7323951465455</v>
      </c>
      <c r="AR110">
        <f t="shared" si="33"/>
        <v>1328.3062773560862</v>
      </c>
      <c r="AS110">
        <f t="shared" si="34"/>
        <v>0.369898483416218</v>
      </c>
      <c r="AT110">
        <f t="shared" si="35"/>
        <v>65.70219062101846</v>
      </c>
      <c r="AU110">
        <f t="shared" si="36"/>
        <v>5.2348381937438271</v>
      </c>
      <c r="AV110">
        <f t="shared" si="37"/>
        <v>60.685356275635982</v>
      </c>
      <c r="AW110">
        <f t="shared" si="38"/>
        <v>8.467785712961712</v>
      </c>
      <c r="AX110">
        <f t="shared" si="39"/>
        <v>63.484825615727026</v>
      </c>
      <c r="AY110">
        <f t="shared" si="40"/>
        <v>2492.4864692773003</v>
      </c>
      <c r="AZ110">
        <f t="shared" si="41"/>
        <v>109.52961382902099</v>
      </c>
      <c r="BA110">
        <f t="shared" si="42"/>
        <v>88.570003878331221</v>
      </c>
      <c r="BB110" t="s">
        <v>31</v>
      </c>
      <c r="BC110" t="s">
        <v>31</v>
      </c>
      <c r="BD110">
        <v>243.31</v>
      </c>
      <c r="BE110">
        <v>180.49</v>
      </c>
      <c r="BF110">
        <v>20.63</v>
      </c>
      <c r="BG110">
        <v>159.86000000000001</v>
      </c>
      <c r="BH110">
        <v>0.9</v>
      </c>
      <c r="BI110">
        <v>534965</v>
      </c>
      <c r="BJ110">
        <v>105919</v>
      </c>
      <c r="BK110">
        <v>229174</v>
      </c>
      <c r="BL110">
        <v>6684</v>
      </c>
      <c r="BM110">
        <v>2701</v>
      </c>
      <c r="BN110">
        <v>19769</v>
      </c>
      <c r="BO110">
        <v>2824</v>
      </c>
      <c r="BP110">
        <v>7716</v>
      </c>
      <c r="BQ110">
        <v>2856</v>
      </c>
      <c r="BR110">
        <v>156578</v>
      </c>
      <c r="BS110" t="s">
        <v>21</v>
      </c>
      <c r="BT110" t="s">
        <v>319</v>
      </c>
      <c r="BU110">
        <v>0</v>
      </c>
      <c r="BV110">
        <v>0</v>
      </c>
      <c r="BW110">
        <v>3.8</v>
      </c>
      <c r="BX110">
        <v>0</v>
      </c>
      <c r="BY110">
        <v>246.6</v>
      </c>
      <c r="BZ110">
        <v>256.7</v>
      </c>
      <c r="CA110">
        <v>2</v>
      </c>
      <c r="CB110">
        <v>2</v>
      </c>
      <c r="CC110">
        <v>0</v>
      </c>
      <c r="CD110">
        <f t="shared" si="43"/>
        <v>3.9345539540319385E-2</v>
      </c>
      <c r="CE110">
        <v>1</v>
      </c>
    </row>
    <row r="111" spans="1:83" x14ac:dyDescent="0.4">
      <c r="A111" t="s">
        <v>1058</v>
      </c>
      <c r="B111" t="s">
        <v>19</v>
      </c>
      <c r="C111" t="s">
        <v>19</v>
      </c>
      <c r="D111" t="s">
        <v>19</v>
      </c>
      <c r="E111" t="s">
        <v>62</v>
      </c>
      <c r="F111" t="s">
        <v>22</v>
      </c>
      <c r="G111">
        <v>70</v>
      </c>
      <c r="H111">
        <v>89</v>
      </c>
      <c r="I111">
        <v>12</v>
      </c>
      <c r="J111">
        <f t="shared" si="26"/>
        <v>58</v>
      </c>
      <c r="K111">
        <f t="shared" si="27"/>
        <v>77</v>
      </c>
      <c r="L111">
        <v>-19</v>
      </c>
      <c r="M111">
        <v>12.02</v>
      </c>
      <c r="N111" t="s">
        <v>445</v>
      </c>
      <c r="O111" t="s">
        <v>446</v>
      </c>
      <c r="P111" t="s">
        <v>13</v>
      </c>
      <c r="Q111">
        <v>0</v>
      </c>
      <c r="R111" t="s">
        <v>26</v>
      </c>
      <c r="S111" t="s">
        <v>27</v>
      </c>
      <c r="T111" t="s">
        <v>14</v>
      </c>
      <c r="U111">
        <v>15</v>
      </c>
      <c r="V111" t="s">
        <v>17</v>
      </c>
      <c r="W111">
        <f t="shared" si="28"/>
        <v>0.42857142857142855</v>
      </c>
      <c r="X111" t="s">
        <v>14</v>
      </c>
      <c r="Y111" t="s">
        <v>14</v>
      </c>
      <c r="Z111">
        <v>0</v>
      </c>
      <c r="AA111">
        <f t="shared" si="22"/>
        <v>3662.3563218390805</v>
      </c>
      <c r="AB111">
        <f t="shared" si="23"/>
        <v>17.959770114942529</v>
      </c>
      <c r="AC111">
        <f t="shared" si="24"/>
        <v>9.9137931034482758</v>
      </c>
      <c r="AD111" t="s">
        <v>15</v>
      </c>
      <c r="AE111" t="s">
        <v>15</v>
      </c>
      <c r="AF111" t="s">
        <v>18</v>
      </c>
      <c r="AG111" t="s">
        <v>14</v>
      </c>
      <c r="AH111" t="s">
        <v>14</v>
      </c>
      <c r="AI111" t="s">
        <v>14</v>
      </c>
      <c r="AJ111" t="s">
        <v>14</v>
      </c>
      <c r="AK111" t="s">
        <v>14</v>
      </c>
      <c r="AL111" t="s">
        <v>14</v>
      </c>
      <c r="AM111">
        <f t="shared" si="25"/>
        <v>55.2</v>
      </c>
      <c r="AN111">
        <f t="shared" si="29"/>
        <v>3800.8</v>
      </c>
      <c r="AO111">
        <f t="shared" si="30"/>
        <v>2451.1999999999998</v>
      </c>
      <c r="AP111">
        <f t="shared" si="31"/>
        <v>529.6</v>
      </c>
      <c r="AQ111">
        <f t="shared" si="32"/>
        <v>697.6</v>
      </c>
      <c r="AR111">
        <f t="shared" si="33"/>
        <v>820</v>
      </c>
      <c r="AS111">
        <f t="shared" si="34"/>
        <v>0.7183908045977011</v>
      </c>
      <c r="AT111">
        <f t="shared" si="35"/>
        <v>8.0459770114942533</v>
      </c>
      <c r="AU111">
        <f t="shared" si="36"/>
        <v>6.0618817091138704</v>
      </c>
      <c r="AV111">
        <f t="shared" si="37"/>
        <v>18.354030730372553</v>
      </c>
      <c r="AW111">
        <f t="shared" si="38"/>
        <v>13.933908650810356</v>
      </c>
      <c r="AX111">
        <f t="shared" si="39"/>
        <v>21.574405388339297</v>
      </c>
      <c r="AY111">
        <f t="shared" si="40"/>
        <v>3630.8231173380036</v>
      </c>
      <c r="AZ111">
        <f t="shared" si="41"/>
        <v>230.4</v>
      </c>
      <c r="BA111">
        <f t="shared" si="42"/>
        <v>44.800000000000004</v>
      </c>
      <c r="BB111" t="s">
        <v>50</v>
      </c>
      <c r="BC111" t="s">
        <v>30</v>
      </c>
      <c r="BD111">
        <v>6.96</v>
      </c>
      <c r="BE111">
        <v>1.25</v>
      </c>
      <c r="BF111">
        <v>0.69</v>
      </c>
      <c r="BG111">
        <v>0.56000000000000005</v>
      </c>
      <c r="BH111">
        <v>0.05</v>
      </c>
      <c r="BI111">
        <v>25490</v>
      </c>
      <c r="BJ111">
        <v>3064</v>
      </c>
      <c r="BK111">
        <v>872</v>
      </c>
      <c r="BL111">
        <v>95</v>
      </c>
      <c r="BM111">
        <v>22</v>
      </c>
      <c r="BN111">
        <v>288</v>
      </c>
      <c r="BO111">
        <v>257</v>
      </c>
      <c r="BP111">
        <v>89</v>
      </c>
      <c r="BQ111">
        <v>64</v>
      </c>
      <c r="BR111">
        <v>20732</v>
      </c>
      <c r="BS111" t="s">
        <v>21</v>
      </c>
      <c r="BT111" t="s">
        <v>260</v>
      </c>
      <c r="BU111">
        <v>0</v>
      </c>
      <c r="BV111">
        <v>0.9</v>
      </c>
      <c r="BW111">
        <v>0</v>
      </c>
      <c r="BX111">
        <v>0.3</v>
      </c>
      <c r="BY111">
        <v>7.5</v>
      </c>
      <c r="BZ111">
        <v>7.6</v>
      </c>
      <c r="CA111">
        <v>7</v>
      </c>
      <c r="CB111">
        <v>3</v>
      </c>
      <c r="CC111">
        <v>0</v>
      </c>
      <c r="CD111">
        <f t="shared" si="43"/>
        <v>1.3157894736842035E-2</v>
      </c>
      <c r="CE111">
        <v>0.42857142857142855</v>
      </c>
    </row>
    <row r="112" spans="1:83" x14ac:dyDescent="0.4">
      <c r="A112" t="s">
        <v>1059</v>
      </c>
      <c r="B112" t="s">
        <v>63</v>
      </c>
      <c r="C112" t="s">
        <v>82</v>
      </c>
      <c r="D112" t="s">
        <v>82</v>
      </c>
      <c r="E112" t="s">
        <v>62</v>
      </c>
      <c r="F112" t="s">
        <v>12</v>
      </c>
      <c r="G112">
        <v>40</v>
      </c>
      <c r="H112">
        <v>25</v>
      </c>
      <c r="I112">
        <v>19.5</v>
      </c>
      <c r="J112">
        <f t="shared" si="26"/>
        <v>20.5</v>
      </c>
      <c r="K112">
        <f t="shared" si="27"/>
        <v>5.5</v>
      </c>
      <c r="L112">
        <v>15</v>
      </c>
      <c r="M112">
        <v>19.29</v>
      </c>
      <c r="N112" t="s">
        <v>448</v>
      </c>
      <c r="O112" t="s">
        <v>449</v>
      </c>
      <c r="P112" t="s">
        <v>13</v>
      </c>
      <c r="Q112">
        <v>0.2</v>
      </c>
      <c r="R112" t="s">
        <v>13</v>
      </c>
      <c r="S112" t="s">
        <v>15</v>
      </c>
      <c r="T112" t="s">
        <v>14</v>
      </c>
      <c r="U112">
        <v>0</v>
      </c>
      <c r="V112" t="s">
        <v>14</v>
      </c>
      <c r="W112">
        <f t="shared" si="28"/>
        <v>1</v>
      </c>
      <c r="X112" t="s">
        <v>14</v>
      </c>
      <c r="Y112" t="s">
        <v>14</v>
      </c>
      <c r="Z112">
        <v>0</v>
      </c>
      <c r="AA112">
        <f t="shared" si="22"/>
        <v>3652.639939485628</v>
      </c>
      <c r="AB112">
        <f t="shared" si="23"/>
        <v>74.141452344931935</v>
      </c>
      <c r="AC112">
        <f t="shared" si="24"/>
        <v>14.618003025718609</v>
      </c>
      <c r="AD112" t="s">
        <v>15</v>
      </c>
      <c r="AE112" t="s">
        <v>15</v>
      </c>
      <c r="AF112" t="s">
        <v>24</v>
      </c>
      <c r="AG112" t="s">
        <v>14</v>
      </c>
      <c r="AH112" t="s">
        <v>14</v>
      </c>
      <c r="AI112" t="s">
        <v>41</v>
      </c>
      <c r="AJ112" t="s">
        <v>14</v>
      </c>
      <c r="AK112" t="s">
        <v>14</v>
      </c>
      <c r="AL112" t="s">
        <v>17</v>
      </c>
      <c r="AM112">
        <f t="shared" si="25"/>
        <v>19.716369943376012</v>
      </c>
      <c r="AN112">
        <f t="shared" si="29"/>
        <v>3585.7521807886546</v>
      </c>
      <c r="AO112">
        <f t="shared" si="30"/>
        <v>950.49737285109427</v>
      </c>
      <c r="AP112">
        <f t="shared" si="31"/>
        <v>495.2507269295516</v>
      </c>
      <c r="AQ112">
        <f t="shared" si="32"/>
        <v>2019.624547263174</v>
      </c>
      <c r="AR112">
        <f t="shared" si="33"/>
        <v>2140.0040810080091</v>
      </c>
      <c r="AS112">
        <f t="shared" si="34"/>
        <v>1.7851739788199699</v>
      </c>
      <c r="AT112">
        <f t="shared" si="35"/>
        <v>59.52344931921332</v>
      </c>
      <c r="AU112">
        <f t="shared" si="36"/>
        <v>8.3534993562521791</v>
      </c>
      <c r="AV112">
        <f t="shared" si="37"/>
        <v>56.323595313800389</v>
      </c>
      <c r="AW112">
        <f t="shared" si="38"/>
        <v>13.811627294907634</v>
      </c>
      <c r="AX112">
        <f t="shared" si="39"/>
        <v>59.680757986385267</v>
      </c>
      <c r="AY112">
        <f t="shared" si="40"/>
        <v>3818.4730144800365</v>
      </c>
      <c r="AZ112">
        <f t="shared" si="41"/>
        <v>299.53578533897871</v>
      </c>
      <c r="BA112">
        <f t="shared" si="42"/>
        <v>80.283630056623991</v>
      </c>
      <c r="BB112" t="s">
        <v>16</v>
      </c>
      <c r="BC112" t="s">
        <v>16</v>
      </c>
      <c r="BD112">
        <v>264.39999999999998</v>
      </c>
      <c r="BE112">
        <v>196.03</v>
      </c>
      <c r="BF112">
        <v>38.65</v>
      </c>
      <c r="BG112">
        <v>157.38</v>
      </c>
      <c r="BH112">
        <v>4.72</v>
      </c>
      <c r="BI112">
        <v>965758</v>
      </c>
      <c r="BJ112">
        <v>186326</v>
      </c>
      <c r="BK112">
        <v>395907</v>
      </c>
      <c r="BL112">
        <v>29704</v>
      </c>
      <c r="BM112">
        <v>4844</v>
      </c>
      <c r="BN112">
        <v>58718</v>
      </c>
      <c r="BO112">
        <v>3818</v>
      </c>
      <c r="BP112">
        <v>16607</v>
      </c>
      <c r="BQ112">
        <v>6991</v>
      </c>
      <c r="BR112">
        <v>261069</v>
      </c>
      <c r="BS112" t="s">
        <v>21</v>
      </c>
      <c r="BT112" t="s">
        <v>447</v>
      </c>
      <c r="BU112">
        <v>0</v>
      </c>
      <c r="BV112">
        <v>0.1</v>
      </c>
      <c r="BW112">
        <v>0</v>
      </c>
      <c r="BX112">
        <v>0</v>
      </c>
      <c r="BY112">
        <v>276.60000000000002</v>
      </c>
      <c r="BZ112">
        <v>277.39999999999998</v>
      </c>
      <c r="CA112">
        <v>1</v>
      </c>
      <c r="CB112">
        <v>1</v>
      </c>
      <c r="CC112">
        <v>0</v>
      </c>
      <c r="CD112">
        <f t="shared" si="43"/>
        <v>2.8839221341022681E-3</v>
      </c>
      <c r="CE112">
        <v>1</v>
      </c>
    </row>
    <row r="113" spans="1:83" x14ac:dyDescent="0.4">
      <c r="A113" t="s">
        <v>1060</v>
      </c>
      <c r="B113" t="s">
        <v>62</v>
      </c>
      <c r="C113" t="s">
        <v>73</v>
      </c>
      <c r="D113" t="s">
        <v>82</v>
      </c>
      <c r="E113" t="s">
        <v>62</v>
      </c>
      <c r="F113" t="s">
        <v>12</v>
      </c>
      <c r="G113">
        <v>70</v>
      </c>
      <c r="H113">
        <v>46</v>
      </c>
      <c r="I113">
        <v>32.5</v>
      </c>
      <c r="J113">
        <f t="shared" si="26"/>
        <v>37.5</v>
      </c>
      <c r="K113">
        <f t="shared" si="27"/>
        <v>13.5</v>
      </c>
      <c r="L113">
        <v>24</v>
      </c>
      <c r="M113">
        <v>32.69</v>
      </c>
      <c r="N113" t="s">
        <v>451</v>
      </c>
      <c r="O113" t="s">
        <v>452</v>
      </c>
      <c r="P113" t="s">
        <v>13</v>
      </c>
      <c r="Q113">
        <v>0</v>
      </c>
      <c r="R113" t="s">
        <v>13</v>
      </c>
      <c r="S113" t="s">
        <v>15</v>
      </c>
      <c r="T113" t="s">
        <v>14</v>
      </c>
      <c r="U113">
        <v>2.5</v>
      </c>
      <c r="V113" t="s">
        <v>14</v>
      </c>
      <c r="W113">
        <f t="shared" si="28"/>
        <v>1</v>
      </c>
      <c r="X113" t="s">
        <v>17</v>
      </c>
      <c r="Y113" t="s">
        <v>14</v>
      </c>
      <c r="Z113">
        <v>0</v>
      </c>
      <c r="AA113">
        <f t="shared" si="22"/>
        <v>1710.5513539887777</v>
      </c>
      <c r="AB113">
        <f t="shared" si="23"/>
        <v>80.934374237618911</v>
      </c>
      <c r="AC113">
        <f t="shared" si="24"/>
        <v>20.017077335935593</v>
      </c>
      <c r="AD113" t="s">
        <v>15</v>
      </c>
      <c r="AE113" t="s">
        <v>27</v>
      </c>
      <c r="AF113" t="s">
        <v>24</v>
      </c>
      <c r="AG113" t="s">
        <v>14</v>
      </c>
      <c r="AH113" t="s">
        <v>14</v>
      </c>
      <c r="AI113" t="s">
        <v>14</v>
      </c>
      <c r="AJ113" t="s">
        <v>14</v>
      </c>
      <c r="AK113" t="s">
        <v>14</v>
      </c>
      <c r="AL113" t="s">
        <v>14</v>
      </c>
      <c r="AM113">
        <f t="shared" si="25"/>
        <v>24.73247927656368</v>
      </c>
      <c r="AN113">
        <f t="shared" si="29"/>
        <v>1880.0904295403166</v>
      </c>
      <c r="AO113">
        <f t="shared" si="30"/>
        <v>690.85531273549361</v>
      </c>
      <c r="AP113">
        <f t="shared" si="31"/>
        <v>71.036171816126611</v>
      </c>
      <c r="AQ113">
        <f t="shared" si="32"/>
        <v>1051.522230595328</v>
      </c>
      <c r="AR113">
        <f t="shared" si="33"/>
        <v>1118.1989449886964</v>
      </c>
      <c r="AS113">
        <f t="shared" si="34"/>
        <v>0.35069529153452056</v>
      </c>
      <c r="AT113">
        <f t="shared" si="35"/>
        <v>60.914247377409119</v>
      </c>
      <c r="AU113">
        <f t="shared" si="36"/>
        <v>1.6808423651638555</v>
      </c>
      <c r="AV113">
        <f t="shared" si="37"/>
        <v>55.9293432950683</v>
      </c>
      <c r="AW113">
        <f t="shared" si="38"/>
        <v>3.7783380362983392</v>
      </c>
      <c r="AX113">
        <f t="shared" si="39"/>
        <v>59.475806451612904</v>
      </c>
      <c r="AY113">
        <f t="shared" si="40"/>
        <v>985.60460652591109</v>
      </c>
      <c r="AZ113">
        <f t="shared" si="41"/>
        <v>31.601356443104752</v>
      </c>
      <c r="BA113">
        <f t="shared" si="42"/>
        <v>75.263752825923135</v>
      </c>
      <c r="BB113" t="s">
        <v>16</v>
      </c>
      <c r="BC113" t="s">
        <v>16</v>
      </c>
      <c r="BD113">
        <v>327.92</v>
      </c>
      <c r="BE113">
        <v>265.39999999999998</v>
      </c>
      <c r="BF113">
        <v>65.64</v>
      </c>
      <c r="BG113">
        <v>199.75</v>
      </c>
      <c r="BH113">
        <v>1.1499999999999999</v>
      </c>
      <c r="BI113">
        <v>560924</v>
      </c>
      <c r="BJ113">
        <v>183353</v>
      </c>
      <c r="BK113">
        <v>279074</v>
      </c>
      <c r="BL113">
        <v>7543</v>
      </c>
      <c r="BM113">
        <v>860</v>
      </c>
      <c r="BN113">
        <v>8387</v>
      </c>
      <c r="BO113">
        <v>2063</v>
      </c>
      <c r="BP113">
        <v>12873</v>
      </c>
      <c r="BQ113">
        <v>4823</v>
      </c>
      <c r="BR113">
        <v>61620</v>
      </c>
      <c r="BS113" t="s">
        <v>21</v>
      </c>
      <c r="BT113" t="s">
        <v>450</v>
      </c>
      <c r="BU113">
        <v>0</v>
      </c>
      <c r="BV113">
        <v>0</v>
      </c>
      <c r="BW113">
        <v>1.1000000000000001</v>
      </c>
      <c r="BX113">
        <v>0</v>
      </c>
      <c r="BY113">
        <v>403.1</v>
      </c>
      <c r="BZ113">
        <v>408</v>
      </c>
      <c r="CA113">
        <v>1</v>
      </c>
      <c r="CB113">
        <v>1</v>
      </c>
      <c r="CC113">
        <v>0</v>
      </c>
      <c r="CD113">
        <f t="shared" si="43"/>
        <v>1.2009803921568585E-2</v>
      </c>
      <c r="CE113">
        <v>1</v>
      </c>
    </row>
    <row r="114" spans="1:83" x14ac:dyDescent="0.4">
      <c r="A114" t="s">
        <v>1061</v>
      </c>
      <c r="B114" t="s">
        <v>19</v>
      </c>
      <c r="C114" t="s">
        <v>19</v>
      </c>
      <c r="D114" t="s">
        <v>19</v>
      </c>
      <c r="E114" t="s">
        <v>62</v>
      </c>
      <c r="F114" t="s">
        <v>22</v>
      </c>
      <c r="G114">
        <v>40</v>
      </c>
      <c r="H114">
        <v>35</v>
      </c>
      <c r="I114">
        <v>47</v>
      </c>
      <c r="J114">
        <f t="shared" si="26"/>
        <v>-7</v>
      </c>
      <c r="K114">
        <f t="shared" si="27"/>
        <v>-12</v>
      </c>
      <c r="L114">
        <v>5</v>
      </c>
      <c r="M114">
        <v>46.96</v>
      </c>
      <c r="N114" t="s">
        <v>453</v>
      </c>
      <c r="O114" t="s">
        <v>454</v>
      </c>
      <c r="P114" t="s">
        <v>13</v>
      </c>
      <c r="Q114">
        <v>0.1</v>
      </c>
      <c r="R114" t="s">
        <v>13</v>
      </c>
      <c r="S114" t="s">
        <v>15</v>
      </c>
      <c r="T114" t="s">
        <v>14</v>
      </c>
      <c r="U114">
        <v>0</v>
      </c>
      <c r="V114" t="s">
        <v>14</v>
      </c>
      <c r="W114">
        <f t="shared" si="28"/>
        <v>1</v>
      </c>
      <c r="X114" t="s">
        <v>14</v>
      </c>
      <c r="Y114" t="s">
        <v>14</v>
      </c>
      <c r="Z114">
        <v>0</v>
      </c>
      <c r="AA114">
        <f t="shared" si="22"/>
        <v>4896.2643678160921</v>
      </c>
      <c r="AB114">
        <f t="shared" si="23"/>
        <v>70.689655172413794</v>
      </c>
      <c r="AC114">
        <f t="shared" si="24"/>
        <v>34.195402298850574</v>
      </c>
      <c r="AD114" t="s">
        <v>15</v>
      </c>
      <c r="AE114" t="s">
        <v>15</v>
      </c>
      <c r="AF114" t="s">
        <v>18</v>
      </c>
      <c r="AG114" t="s">
        <v>14</v>
      </c>
      <c r="AH114" t="s">
        <v>14</v>
      </c>
      <c r="AI114" t="s">
        <v>18</v>
      </c>
      <c r="AJ114" t="s">
        <v>14</v>
      </c>
      <c r="AK114" t="s">
        <v>14</v>
      </c>
      <c r="AL114" t="s">
        <v>14</v>
      </c>
      <c r="AM114">
        <f t="shared" si="25"/>
        <v>48.373983739837399</v>
      </c>
      <c r="AN114">
        <f t="shared" si="29"/>
        <v>5114.6341463414637</v>
      </c>
      <c r="AO114">
        <f t="shared" si="30"/>
        <v>3252.439024390244</v>
      </c>
      <c r="AP114">
        <f t="shared" si="31"/>
        <v>895.1219512195122</v>
      </c>
      <c r="AQ114">
        <f t="shared" si="32"/>
        <v>868.69918699186996</v>
      </c>
      <c r="AR114">
        <f t="shared" si="33"/>
        <v>967.07317073170736</v>
      </c>
      <c r="AS114">
        <f t="shared" si="34"/>
        <v>1.1494252873563218</v>
      </c>
      <c r="AT114">
        <f t="shared" si="35"/>
        <v>36.206896551724135</v>
      </c>
      <c r="AU114">
        <f t="shared" si="36"/>
        <v>7.1133365124781438</v>
      </c>
      <c r="AV114">
        <f t="shared" si="37"/>
        <v>16.984581147671275</v>
      </c>
      <c r="AW114">
        <f t="shared" si="38"/>
        <v>17.501192179303768</v>
      </c>
      <c r="AX114">
        <f t="shared" si="39"/>
        <v>18.907963757749165</v>
      </c>
      <c r="AY114">
        <f t="shared" si="40"/>
        <v>4363.7254901960787</v>
      </c>
      <c r="AZ114">
        <f t="shared" si="41"/>
        <v>363.82113821138211</v>
      </c>
      <c r="BA114">
        <f t="shared" si="42"/>
        <v>51.219512195121951</v>
      </c>
      <c r="BB114" t="s">
        <v>40</v>
      </c>
      <c r="BC114" t="s">
        <v>40</v>
      </c>
      <c r="BD114">
        <v>3.48</v>
      </c>
      <c r="BE114">
        <v>2.46</v>
      </c>
      <c r="BF114">
        <v>1.19</v>
      </c>
      <c r="BG114">
        <v>1.26</v>
      </c>
      <c r="BH114">
        <v>0.04</v>
      </c>
      <c r="BI114">
        <v>17039</v>
      </c>
      <c r="BJ114">
        <v>8001</v>
      </c>
      <c r="BK114">
        <v>2137</v>
      </c>
      <c r="BL114">
        <v>202</v>
      </c>
      <c r="BM114">
        <v>92</v>
      </c>
      <c r="BN114">
        <v>895</v>
      </c>
      <c r="BO114">
        <v>1013</v>
      </c>
      <c r="BP114">
        <v>175</v>
      </c>
      <c r="BQ114">
        <v>67</v>
      </c>
      <c r="BR114">
        <v>4451</v>
      </c>
      <c r="BS114" t="s">
        <v>21</v>
      </c>
      <c r="BT114" t="s">
        <v>201</v>
      </c>
      <c r="BU114">
        <v>0</v>
      </c>
      <c r="BV114">
        <v>0</v>
      </c>
      <c r="BW114">
        <v>0</v>
      </c>
      <c r="BX114">
        <v>0</v>
      </c>
      <c r="BY114">
        <v>3.6</v>
      </c>
      <c r="BZ114">
        <v>3.6</v>
      </c>
      <c r="CA114">
        <v>6</v>
      </c>
      <c r="CB114">
        <v>6</v>
      </c>
      <c r="CC114">
        <v>0</v>
      </c>
      <c r="CD114">
        <f t="shared" si="43"/>
        <v>0</v>
      </c>
      <c r="CE114">
        <v>1</v>
      </c>
    </row>
    <row r="115" spans="1:83" x14ac:dyDescent="0.4">
      <c r="A115" t="s">
        <v>1062</v>
      </c>
      <c r="B115" t="s">
        <v>62</v>
      </c>
      <c r="C115" t="s">
        <v>73</v>
      </c>
      <c r="D115" t="s">
        <v>82</v>
      </c>
      <c r="E115" t="s">
        <v>62</v>
      </c>
      <c r="F115" t="s">
        <v>12</v>
      </c>
      <c r="G115">
        <v>30</v>
      </c>
      <c r="H115">
        <v>20</v>
      </c>
      <c r="I115">
        <v>21</v>
      </c>
      <c r="J115">
        <f t="shared" si="26"/>
        <v>9</v>
      </c>
      <c r="K115">
        <f t="shared" si="27"/>
        <v>-1</v>
      </c>
      <c r="L115">
        <v>10</v>
      </c>
      <c r="M115">
        <v>20.77</v>
      </c>
      <c r="N115" t="s">
        <v>455</v>
      </c>
      <c r="O115" t="s">
        <v>456</v>
      </c>
      <c r="P115" t="s">
        <v>13</v>
      </c>
      <c r="Q115">
        <v>5.7</v>
      </c>
      <c r="R115" t="s">
        <v>13</v>
      </c>
      <c r="S115" t="s">
        <v>27</v>
      </c>
      <c r="T115" t="s">
        <v>14</v>
      </c>
      <c r="U115">
        <v>0</v>
      </c>
      <c r="V115" t="s">
        <v>14</v>
      </c>
      <c r="W115">
        <f t="shared" si="28"/>
        <v>1</v>
      </c>
      <c r="X115" t="s">
        <v>17</v>
      </c>
      <c r="Y115" t="s">
        <v>14</v>
      </c>
      <c r="Z115">
        <v>0</v>
      </c>
      <c r="AA115">
        <f t="shared" si="22"/>
        <v>3871.5421303656599</v>
      </c>
      <c r="AB115">
        <f t="shared" si="23"/>
        <v>91.418729654023764</v>
      </c>
      <c r="AC115">
        <f t="shared" si="24"/>
        <v>23.836020894844424</v>
      </c>
      <c r="AD115" t="s">
        <v>27</v>
      </c>
      <c r="AE115" t="s">
        <v>15</v>
      </c>
      <c r="AF115" t="s">
        <v>24</v>
      </c>
      <c r="AG115" t="s">
        <v>14</v>
      </c>
      <c r="AH115" t="s">
        <v>17</v>
      </c>
      <c r="AI115" t="s">
        <v>18</v>
      </c>
      <c r="AJ115" t="s">
        <v>14</v>
      </c>
      <c r="AK115" t="s">
        <v>14</v>
      </c>
      <c r="AL115" t="s">
        <v>17</v>
      </c>
      <c r="AM115">
        <f t="shared" si="25"/>
        <v>26.07345451534098</v>
      </c>
      <c r="AN115">
        <f t="shared" si="29"/>
        <v>3965.6535961243844</v>
      </c>
      <c r="AO115">
        <f t="shared" si="30"/>
        <v>879.77309428181036</v>
      </c>
      <c r="AP115">
        <f t="shared" si="31"/>
        <v>749.31886878390128</v>
      </c>
      <c r="AQ115">
        <f t="shared" si="32"/>
        <v>2199.8136723117054</v>
      </c>
      <c r="AR115">
        <f t="shared" si="33"/>
        <v>2336.5616330586727</v>
      </c>
      <c r="AS115">
        <f t="shared" si="34"/>
        <v>0.19683549095313801</v>
      </c>
      <c r="AT115">
        <f t="shared" si="35"/>
        <v>67.586494057082291</v>
      </c>
      <c r="AU115">
        <f t="shared" si="36"/>
        <v>13.954862724420384</v>
      </c>
      <c r="AV115">
        <f t="shared" si="37"/>
        <v>55.471654772408101</v>
      </c>
      <c r="AW115">
        <f t="shared" si="38"/>
        <v>18.895217411732769</v>
      </c>
      <c r="AX115">
        <f t="shared" si="39"/>
        <v>58.919963038178224</v>
      </c>
      <c r="AY115">
        <f t="shared" si="40"/>
        <v>2814.3802382002627</v>
      </c>
      <c r="AZ115">
        <f t="shared" si="41"/>
        <v>553.40151546519814</v>
      </c>
      <c r="BA115">
        <f t="shared" si="42"/>
        <v>73.930686099954457</v>
      </c>
      <c r="BB115" t="s">
        <v>16</v>
      </c>
      <c r="BC115" t="s">
        <v>16</v>
      </c>
      <c r="BD115">
        <v>264.18</v>
      </c>
      <c r="BE115">
        <v>241.51</v>
      </c>
      <c r="BF115">
        <v>62.97</v>
      </c>
      <c r="BG115">
        <v>178.55</v>
      </c>
      <c r="BH115">
        <v>0.52</v>
      </c>
      <c r="BI115">
        <v>1022784</v>
      </c>
      <c r="BJ115">
        <v>212474</v>
      </c>
      <c r="BK115">
        <v>531277</v>
      </c>
      <c r="BL115">
        <v>22898</v>
      </c>
      <c r="BM115">
        <v>15630</v>
      </c>
      <c r="BN115">
        <v>133652</v>
      </c>
      <c r="BO115">
        <v>8788</v>
      </c>
      <c r="BP115">
        <v>28250</v>
      </c>
      <c r="BQ115">
        <v>4776</v>
      </c>
      <c r="BR115">
        <v>63802</v>
      </c>
      <c r="BS115" t="s">
        <v>21</v>
      </c>
      <c r="BT115" t="s">
        <v>380</v>
      </c>
      <c r="BU115">
        <v>0.1</v>
      </c>
      <c r="BV115">
        <v>7.5</v>
      </c>
      <c r="BW115">
        <v>2.9</v>
      </c>
      <c r="BX115">
        <v>0.3</v>
      </c>
      <c r="BY115">
        <v>306.5</v>
      </c>
      <c r="BZ115">
        <v>366.7</v>
      </c>
      <c r="CA115">
        <v>1</v>
      </c>
      <c r="CB115">
        <v>1</v>
      </c>
      <c r="CC115">
        <v>0</v>
      </c>
      <c r="CD115">
        <f t="shared" si="43"/>
        <v>0.16416689391873462</v>
      </c>
      <c r="CE115">
        <v>1</v>
      </c>
    </row>
    <row r="116" spans="1:83" x14ac:dyDescent="0.4">
      <c r="A116" t="s">
        <v>1063</v>
      </c>
      <c r="B116" t="s">
        <v>62</v>
      </c>
      <c r="C116" t="s">
        <v>73</v>
      </c>
      <c r="D116" t="s">
        <v>82</v>
      </c>
      <c r="E116" t="s">
        <v>62</v>
      </c>
      <c r="F116" t="s">
        <v>32</v>
      </c>
      <c r="G116">
        <v>20</v>
      </c>
      <c r="H116">
        <v>40</v>
      </c>
      <c r="I116">
        <v>42.5</v>
      </c>
      <c r="J116">
        <f t="shared" si="26"/>
        <v>-22.5</v>
      </c>
      <c r="K116">
        <f t="shared" si="27"/>
        <v>-2.5</v>
      </c>
      <c r="L116">
        <v>-20</v>
      </c>
      <c r="M116">
        <v>42.53</v>
      </c>
      <c r="N116" t="s">
        <v>457</v>
      </c>
      <c r="O116" t="s">
        <v>458</v>
      </c>
      <c r="P116" t="s">
        <v>13</v>
      </c>
      <c r="Q116">
        <v>0</v>
      </c>
      <c r="R116" t="s">
        <v>26</v>
      </c>
      <c r="S116" t="s">
        <v>15</v>
      </c>
      <c r="T116" t="s">
        <v>14</v>
      </c>
      <c r="U116">
        <v>0</v>
      </c>
      <c r="V116" t="s">
        <v>14</v>
      </c>
      <c r="W116">
        <v>0</v>
      </c>
      <c r="X116" t="s">
        <v>14</v>
      </c>
      <c r="Y116" t="s">
        <v>14</v>
      </c>
      <c r="Z116">
        <v>0</v>
      </c>
      <c r="AA116">
        <f t="shared" si="22"/>
        <v>78.022947925860549</v>
      </c>
      <c r="AB116">
        <f t="shared" si="23"/>
        <v>0.79435127978817299</v>
      </c>
      <c r="AC116">
        <f t="shared" si="24"/>
        <v>0.79435127978817299</v>
      </c>
      <c r="AD116" t="s">
        <v>36</v>
      </c>
      <c r="AE116" t="s">
        <v>15</v>
      </c>
      <c r="AF116" t="s">
        <v>18</v>
      </c>
      <c r="AG116" t="s">
        <v>14</v>
      </c>
      <c r="AH116" t="s">
        <v>14</v>
      </c>
      <c r="AI116" t="s">
        <v>14</v>
      </c>
      <c r="AJ116" t="s">
        <v>14</v>
      </c>
      <c r="AK116" t="s">
        <v>14</v>
      </c>
      <c r="AL116" t="s">
        <v>14</v>
      </c>
      <c r="AM116">
        <f t="shared" si="25"/>
        <v>100</v>
      </c>
      <c r="AN116">
        <f t="shared" si="29"/>
        <v>6177.7777777777783</v>
      </c>
      <c r="AO116">
        <f t="shared" si="30"/>
        <v>4177.7777777777783</v>
      </c>
      <c r="AP116">
        <f t="shared" si="31"/>
        <v>1522.2222222222222</v>
      </c>
      <c r="AQ116">
        <f t="shared" si="32"/>
        <v>0</v>
      </c>
      <c r="AR116">
        <f t="shared" si="33"/>
        <v>477.77777777777777</v>
      </c>
      <c r="AS116">
        <f t="shared" si="34"/>
        <v>55.604589585172107</v>
      </c>
      <c r="AT116">
        <f t="shared" si="35"/>
        <v>0</v>
      </c>
      <c r="AU116">
        <f t="shared" si="36"/>
        <v>6.1151079136690649</v>
      </c>
      <c r="AV116">
        <f t="shared" si="37"/>
        <v>0</v>
      </c>
      <c r="AW116">
        <f t="shared" si="38"/>
        <v>24.640287769784173</v>
      </c>
      <c r="AX116">
        <f t="shared" si="39"/>
        <v>7.7338129496402876</v>
      </c>
      <c r="AY116">
        <f t="shared" si="40"/>
        <v>29.181494661921707</v>
      </c>
      <c r="AZ116">
        <f t="shared" si="41"/>
        <v>377.77777777777777</v>
      </c>
      <c r="BA116">
        <f t="shared" si="42"/>
        <v>0</v>
      </c>
      <c r="BB116" t="s">
        <v>33</v>
      </c>
      <c r="BC116" t="s">
        <v>33</v>
      </c>
      <c r="BD116">
        <v>11.33</v>
      </c>
      <c r="BE116">
        <v>0.09</v>
      </c>
      <c r="BF116">
        <v>0.09</v>
      </c>
      <c r="BG116">
        <v>0</v>
      </c>
      <c r="BH116">
        <v>6.3</v>
      </c>
      <c r="BI116">
        <v>884</v>
      </c>
      <c r="BJ116">
        <v>376</v>
      </c>
      <c r="BK116">
        <v>0</v>
      </c>
      <c r="BL116">
        <v>71</v>
      </c>
      <c r="BM116">
        <v>5</v>
      </c>
      <c r="BN116">
        <v>34</v>
      </c>
      <c r="BO116">
        <v>27</v>
      </c>
      <c r="BP116">
        <v>1</v>
      </c>
      <c r="BQ116">
        <v>42</v>
      </c>
      <c r="BR116">
        <v>328</v>
      </c>
      <c r="BS116" t="s">
        <v>44</v>
      </c>
      <c r="BT116" t="s">
        <v>243</v>
      </c>
      <c r="BU116">
        <v>0</v>
      </c>
      <c r="BV116">
        <v>0</v>
      </c>
      <c r="BW116">
        <v>0</v>
      </c>
      <c r="BX116">
        <v>0</v>
      </c>
      <c r="BY116">
        <v>24.8</v>
      </c>
      <c r="BZ116">
        <v>24.8</v>
      </c>
      <c r="CA116">
        <v>0</v>
      </c>
      <c r="CB116">
        <v>0</v>
      </c>
      <c r="CC116">
        <v>0</v>
      </c>
      <c r="CD116">
        <f t="shared" si="43"/>
        <v>0</v>
      </c>
      <c r="CE116">
        <v>0</v>
      </c>
    </row>
    <row r="117" spans="1:83" x14ac:dyDescent="0.4">
      <c r="A117" t="s">
        <v>1064</v>
      </c>
      <c r="B117" t="s">
        <v>62</v>
      </c>
      <c r="C117" t="s">
        <v>73</v>
      </c>
      <c r="D117" t="s">
        <v>82</v>
      </c>
      <c r="E117" t="s">
        <v>62</v>
      </c>
      <c r="F117" t="s">
        <v>32</v>
      </c>
      <c r="G117">
        <v>60</v>
      </c>
      <c r="H117">
        <v>20</v>
      </c>
      <c r="I117">
        <v>39.5</v>
      </c>
      <c r="J117">
        <f t="shared" si="26"/>
        <v>20.5</v>
      </c>
      <c r="K117">
        <f t="shared" si="27"/>
        <v>-19.5</v>
      </c>
      <c r="L117">
        <v>40</v>
      </c>
      <c r="M117">
        <v>39.31</v>
      </c>
      <c r="N117" t="s">
        <v>459</v>
      </c>
      <c r="O117" t="s">
        <v>460</v>
      </c>
      <c r="P117" t="s">
        <v>13</v>
      </c>
      <c r="Q117">
        <v>0.5</v>
      </c>
      <c r="R117" t="s">
        <v>26</v>
      </c>
      <c r="S117" t="s">
        <v>15</v>
      </c>
      <c r="T117" t="s">
        <v>14</v>
      </c>
      <c r="U117">
        <v>0</v>
      </c>
      <c r="V117" t="s">
        <v>14</v>
      </c>
      <c r="W117">
        <v>0</v>
      </c>
      <c r="X117" t="s">
        <v>14</v>
      </c>
      <c r="Y117" t="s">
        <v>14</v>
      </c>
      <c r="Z117">
        <v>0</v>
      </c>
      <c r="AA117">
        <f t="shared" si="22"/>
        <v>1029.2307692307693</v>
      </c>
      <c r="AB117">
        <f t="shared" si="23"/>
        <v>18.46153846153846</v>
      </c>
      <c r="AC117">
        <f t="shared" si="24"/>
        <v>16.923076923076923</v>
      </c>
      <c r="AD117" t="s">
        <v>36</v>
      </c>
      <c r="AE117" t="s">
        <v>15</v>
      </c>
      <c r="AF117" t="s">
        <v>18</v>
      </c>
      <c r="AG117" t="s">
        <v>14</v>
      </c>
      <c r="AH117" t="s">
        <v>14</v>
      </c>
      <c r="AI117" t="s">
        <v>14</v>
      </c>
      <c r="AJ117" t="s">
        <v>14</v>
      </c>
      <c r="AK117" t="s">
        <v>14</v>
      </c>
      <c r="AL117" t="s">
        <v>14</v>
      </c>
      <c r="AM117">
        <f t="shared" si="25"/>
        <v>91.666666666666671</v>
      </c>
      <c r="AN117">
        <f t="shared" si="29"/>
        <v>3250</v>
      </c>
      <c r="AO117">
        <f t="shared" si="30"/>
        <v>2191.666666666667</v>
      </c>
      <c r="AP117">
        <f t="shared" si="31"/>
        <v>858.33333333333337</v>
      </c>
      <c r="AQ117">
        <f t="shared" si="32"/>
        <v>125</v>
      </c>
      <c r="AR117">
        <f t="shared" si="33"/>
        <v>200</v>
      </c>
      <c r="AS117">
        <f t="shared" si="34"/>
        <v>47.692307692307693</v>
      </c>
      <c r="AT117">
        <f t="shared" si="35"/>
        <v>1.5384615384615383</v>
      </c>
      <c r="AU117">
        <f t="shared" si="36"/>
        <v>5.6410256410256414</v>
      </c>
      <c r="AV117">
        <f t="shared" si="37"/>
        <v>3.8461538461538463</v>
      </c>
      <c r="AW117">
        <f t="shared" si="38"/>
        <v>26.410256410256409</v>
      </c>
      <c r="AX117">
        <f t="shared" si="39"/>
        <v>6.1538461538461542</v>
      </c>
      <c r="AY117">
        <f t="shared" si="40"/>
        <v>526.41509433962267</v>
      </c>
      <c r="AZ117">
        <f t="shared" si="41"/>
        <v>183.33333333333334</v>
      </c>
      <c r="BA117">
        <f t="shared" si="42"/>
        <v>8.3333333333333339</v>
      </c>
      <c r="BB117" t="s">
        <v>33</v>
      </c>
      <c r="BC117" t="s">
        <v>33</v>
      </c>
      <c r="BD117">
        <v>0.65</v>
      </c>
      <c r="BE117">
        <v>0.12</v>
      </c>
      <c r="BF117">
        <v>0.11</v>
      </c>
      <c r="BG117">
        <v>0.01</v>
      </c>
      <c r="BH117">
        <v>0.31</v>
      </c>
      <c r="BI117">
        <v>669</v>
      </c>
      <c r="BJ117">
        <v>263</v>
      </c>
      <c r="BK117">
        <v>15</v>
      </c>
      <c r="BL117">
        <v>74</v>
      </c>
      <c r="BM117">
        <v>3</v>
      </c>
      <c r="BN117">
        <v>22</v>
      </c>
      <c r="BO117">
        <v>4</v>
      </c>
      <c r="BP117">
        <v>4</v>
      </c>
      <c r="BQ117">
        <v>5</v>
      </c>
      <c r="BR117">
        <v>279</v>
      </c>
      <c r="BS117" t="s">
        <v>44</v>
      </c>
      <c r="BT117" t="s">
        <v>201</v>
      </c>
      <c r="BU117">
        <v>0</v>
      </c>
      <c r="BV117">
        <v>0</v>
      </c>
      <c r="BW117">
        <v>0</v>
      </c>
      <c r="BX117">
        <v>0</v>
      </c>
      <c r="BY117">
        <v>12.1</v>
      </c>
      <c r="BZ117">
        <v>12.2</v>
      </c>
      <c r="CA117">
        <v>0</v>
      </c>
      <c r="CB117">
        <v>0</v>
      </c>
      <c r="CC117">
        <v>0</v>
      </c>
      <c r="CD117">
        <f t="shared" si="43"/>
        <v>8.1967213114754189E-3</v>
      </c>
      <c r="CE117">
        <v>0</v>
      </c>
    </row>
    <row r="118" spans="1:83" x14ac:dyDescent="0.4">
      <c r="A118" t="s">
        <v>1065</v>
      </c>
      <c r="B118" t="s">
        <v>62</v>
      </c>
      <c r="C118" t="s">
        <v>73</v>
      </c>
      <c r="D118" t="s">
        <v>82</v>
      </c>
      <c r="E118" t="s">
        <v>62</v>
      </c>
      <c r="F118" t="s">
        <v>12</v>
      </c>
      <c r="G118">
        <v>40</v>
      </c>
      <c r="H118">
        <v>63</v>
      </c>
      <c r="I118">
        <v>64</v>
      </c>
      <c r="J118">
        <f t="shared" si="26"/>
        <v>-24</v>
      </c>
      <c r="K118">
        <f t="shared" si="27"/>
        <v>-1</v>
      </c>
      <c r="L118">
        <v>-23</v>
      </c>
      <c r="M118">
        <v>64.02</v>
      </c>
      <c r="N118" t="s">
        <v>462</v>
      </c>
      <c r="O118" t="s">
        <v>463</v>
      </c>
      <c r="P118" t="s">
        <v>13</v>
      </c>
      <c r="Q118">
        <v>2.4</v>
      </c>
      <c r="R118" t="s">
        <v>13</v>
      </c>
      <c r="S118" t="s">
        <v>35</v>
      </c>
      <c r="T118" t="s">
        <v>14</v>
      </c>
      <c r="U118">
        <v>0</v>
      </c>
      <c r="V118" t="s">
        <v>14</v>
      </c>
      <c r="W118">
        <f t="shared" si="28"/>
        <v>1</v>
      </c>
      <c r="X118" t="s">
        <v>14</v>
      </c>
      <c r="Y118" t="s">
        <v>14</v>
      </c>
      <c r="Z118">
        <v>0</v>
      </c>
      <c r="AA118">
        <f t="shared" si="22"/>
        <v>4521.1699050877833</v>
      </c>
      <c r="AB118">
        <f t="shared" si="23"/>
        <v>67.839830542995642</v>
      </c>
      <c r="AC118">
        <f t="shared" si="24"/>
        <v>49.997963257159149</v>
      </c>
      <c r="AD118" t="s">
        <v>37</v>
      </c>
      <c r="AE118" t="s">
        <v>27</v>
      </c>
      <c r="AF118" t="s">
        <v>18</v>
      </c>
      <c r="AG118" t="s">
        <v>14</v>
      </c>
      <c r="AH118" t="s">
        <v>14</v>
      </c>
      <c r="AI118" t="s">
        <v>18</v>
      </c>
      <c r="AJ118" t="s">
        <v>14</v>
      </c>
      <c r="AK118" t="s">
        <v>14</v>
      </c>
      <c r="AL118" t="s">
        <v>17</v>
      </c>
      <c r="AM118">
        <f t="shared" si="25"/>
        <v>73.700012009126937</v>
      </c>
      <c r="AN118">
        <f t="shared" si="29"/>
        <v>5707.4096313198033</v>
      </c>
      <c r="AO118">
        <f t="shared" si="30"/>
        <v>4266.4825267203078</v>
      </c>
      <c r="AP118">
        <f t="shared" si="31"/>
        <v>743.67119010447948</v>
      </c>
      <c r="AQ118">
        <f t="shared" si="32"/>
        <v>554.2572354989793</v>
      </c>
      <c r="AR118">
        <f t="shared" si="33"/>
        <v>697.25591449501621</v>
      </c>
      <c r="AS118">
        <f t="shared" si="34"/>
        <v>5.992097437777506</v>
      </c>
      <c r="AT118">
        <f t="shared" si="35"/>
        <v>17.841867285836489</v>
      </c>
      <c r="AU118">
        <f t="shared" si="36"/>
        <v>9.5076127392394838</v>
      </c>
      <c r="AV118">
        <f t="shared" si="37"/>
        <v>9.7111872338276637</v>
      </c>
      <c r="AW118">
        <f t="shared" si="38"/>
        <v>13.029924924672176</v>
      </c>
      <c r="AX118">
        <f t="shared" si="39"/>
        <v>12.216679010890973</v>
      </c>
      <c r="AY118">
        <f t="shared" si="40"/>
        <v>2012.602913236225</v>
      </c>
      <c r="AZ118">
        <f t="shared" si="41"/>
        <v>542.63840518794291</v>
      </c>
      <c r="BA118">
        <f t="shared" si="42"/>
        <v>26.299987990873063</v>
      </c>
      <c r="BB118" t="s">
        <v>16</v>
      </c>
      <c r="BC118" t="s">
        <v>16</v>
      </c>
      <c r="BD118">
        <v>245.49</v>
      </c>
      <c r="BE118">
        <v>166.54</v>
      </c>
      <c r="BF118">
        <v>122.74</v>
      </c>
      <c r="BG118">
        <v>43.8</v>
      </c>
      <c r="BH118">
        <v>14.71</v>
      </c>
      <c r="BI118">
        <v>1109902</v>
      </c>
      <c r="BJ118">
        <v>710540</v>
      </c>
      <c r="BK118">
        <v>92306</v>
      </c>
      <c r="BL118">
        <v>25118</v>
      </c>
      <c r="BM118">
        <v>4364</v>
      </c>
      <c r="BN118">
        <v>90371</v>
      </c>
      <c r="BO118">
        <v>3998</v>
      </c>
      <c r="BP118">
        <v>9986</v>
      </c>
      <c r="BQ118">
        <v>13829</v>
      </c>
      <c r="BR118">
        <v>158895</v>
      </c>
      <c r="BS118" t="s">
        <v>21</v>
      </c>
      <c r="BT118" t="s">
        <v>461</v>
      </c>
      <c r="BU118">
        <v>0</v>
      </c>
      <c r="BV118">
        <v>2.2999999999999998</v>
      </c>
      <c r="BW118">
        <v>0</v>
      </c>
      <c r="BX118">
        <v>0</v>
      </c>
      <c r="BY118">
        <v>288.39999999999998</v>
      </c>
      <c r="BZ118">
        <v>302.7</v>
      </c>
      <c r="CA118">
        <v>1</v>
      </c>
      <c r="CB118">
        <v>1</v>
      </c>
      <c r="CC118">
        <v>0</v>
      </c>
      <c r="CD118">
        <f t="shared" si="43"/>
        <v>4.724149322761817E-2</v>
      </c>
      <c r="CE118">
        <v>1</v>
      </c>
    </row>
    <row r="119" spans="1:83" x14ac:dyDescent="0.4">
      <c r="A119" t="s">
        <v>1066</v>
      </c>
      <c r="B119" t="s">
        <v>62</v>
      </c>
      <c r="C119" t="s">
        <v>73</v>
      </c>
      <c r="D119" t="s">
        <v>82</v>
      </c>
      <c r="E119" t="s">
        <v>62</v>
      </c>
      <c r="F119" t="s">
        <v>12</v>
      </c>
      <c r="G119">
        <v>30</v>
      </c>
      <c r="H119">
        <v>12</v>
      </c>
      <c r="I119">
        <v>12.5</v>
      </c>
      <c r="J119">
        <f t="shared" si="26"/>
        <v>17.5</v>
      </c>
      <c r="K119">
        <f t="shared" si="27"/>
        <v>-0.5</v>
      </c>
      <c r="L119">
        <v>18</v>
      </c>
      <c r="M119">
        <v>12.4</v>
      </c>
      <c r="N119" t="s">
        <v>465</v>
      </c>
      <c r="O119" t="s">
        <v>466</v>
      </c>
      <c r="P119" t="s">
        <v>13</v>
      </c>
      <c r="Q119">
        <v>1.1000000000000001</v>
      </c>
      <c r="R119" t="s">
        <v>13</v>
      </c>
      <c r="S119" t="s">
        <v>27</v>
      </c>
      <c r="T119" t="s">
        <v>14</v>
      </c>
      <c r="U119">
        <v>2.5</v>
      </c>
      <c r="V119" t="s">
        <v>14</v>
      </c>
      <c r="W119">
        <f t="shared" si="28"/>
        <v>1</v>
      </c>
      <c r="X119" t="s">
        <v>14</v>
      </c>
      <c r="Y119" t="s">
        <v>14</v>
      </c>
      <c r="Z119">
        <v>0</v>
      </c>
      <c r="AA119">
        <f t="shared" si="22"/>
        <v>3483.6319153973641</v>
      </c>
      <c r="AB119">
        <f t="shared" si="23"/>
        <v>60.239917922815884</v>
      </c>
      <c r="AC119">
        <f t="shared" si="24"/>
        <v>7.1975376844763632</v>
      </c>
      <c r="AD119" t="s">
        <v>27</v>
      </c>
      <c r="AE119" t="s">
        <v>27</v>
      </c>
      <c r="AF119" t="s">
        <v>24</v>
      </c>
      <c r="AG119" t="s">
        <v>14</v>
      </c>
      <c r="AH119" t="s">
        <v>17</v>
      </c>
      <c r="AI119" t="s">
        <v>18</v>
      </c>
      <c r="AJ119" t="s">
        <v>14</v>
      </c>
      <c r="AK119" t="s">
        <v>14</v>
      </c>
      <c r="AL119" t="s">
        <v>17</v>
      </c>
      <c r="AM119">
        <f t="shared" si="25"/>
        <v>11.948120005240403</v>
      </c>
      <c r="AN119">
        <f t="shared" si="29"/>
        <v>3809.4130748067601</v>
      </c>
      <c r="AO119">
        <f t="shared" si="30"/>
        <v>717.09026595047817</v>
      </c>
      <c r="AP119">
        <f t="shared" si="31"/>
        <v>720.50307873706276</v>
      </c>
      <c r="AQ119">
        <f t="shared" si="32"/>
        <v>2232.2677846194156</v>
      </c>
      <c r="AR119">
        <f t="shared" si="33"/>
        <v>2371.8197301192195</v>
      </c>
      <c r="AS119">
        <f t="shared" si="34"/>
        <v>2.2176623786599321</v>
      </c>
      <c r="AT119">
        <f t="shared" si="35"/>
        <v>53.046326256806886</v>
      </c>
      <c r="AU119">
        <f t="shared" si="36"/>
        <v>8.3358983397673434</v>
      </c>
      <c r="AV119">
        <f t="shared" si="37"/>
        <v>58.598732686206567</v>
      </c>
      <c r="AW119">
        <f t="shared" si="38"/>
        <v>18.91375559930874</v>
      </c>
      <c r="AX119">
        <f t="shared" si="39"/>
        <v>62.262077741189415</v>
      </c>
      <c r="AY119">
        <f t="shared" si="40"/>
        <v>2978.7316395395001</v>
      </c>
      <c r="AZ119">
        <f t="shared" si="41"/>
        <v>317.54880125769682</v>
      </c>
      <c r="BA119">
        <f t="shared" si="42"/>
        <v>88.058430499148443</v>
      </c>
      <c r="BB119" t="s">
        <v>16</v>
      </c>
      <c r="BC119" t="s">
        <v>16</v>
      </c>
      <c r="BD119">
        <v>253.42</v>
      </c>
      <c r="BE119">
        <v>152.66</v>
      </c>
      <c r="BF119">
        <v>18.239999999999998</v>
      </c>
      <c r="BG119">
        <v>134.43</v>
      </c>
      <c r="BH119">
        <v>5.62</v>
      </c>
      <c r="BI119">
        <v>882822</v>
      </c>
      <c r="BJ119">
        <v>109471</v>
      </c>
      <c r="BK119">
        <v>340778</v>
      </c>
      <c r="BL119">
        <v>26183</v>
      </c>
      <c r="BM119">
        <v>5151</v>
      </c>
      <c r="BN119">
        <v>48477</v>
      </c>
      <c r="BO119">
        <v>30181</v>
      </c>
      <c r="BP119">
        <v>13164</v>
      </c>
      <c r="BQ119">
        <v>8140</v>
      </c>
      <c r="BR119">
        <v>300137</v>
      </c>
      <c r="BS119" t="s">
        <v>21</v>
      </c>
      <c r="BT119" t="s">
        <v>464</v>
      </c>
      <c r="BU119">
        <v>0.1</v>
      </c>
      <c r="BV119">
        <v>1</v>
      </c>
      <c r="BW119">
        <v>0.1</v>
      </c>
      <c r="BX119">
        <v>0.1</v>
      </c>
      <c r="BY119">
        <v>285.3</v>
      </c>
      <c r="BZ119">
        <v>292.3</v>
      </c>
      <c r="CA119">
        <v>1</v>
      </c>
      <c r="CB119">
        <v>1</v>
      </c>
      <c r="CC119">
        <v>0</v>
      </c>
      <c r="CD119">
        <f t="shared" si="43"/>
        <v>2.3947998631542955E-2</v>
      </c>
      <c r="CE119">
        <v>1</v>
      </c>
    </row>
    <row r="120" spans="1:83" x14ac:dyDescent="0.4">
      <c r="A120" t="s">
        <v>1067</v>
      </c>
      <c r="B120" t="s">
        <v>62</v>
      </c>
      <c r="C120" t="s">
        <v>73</v>
      </c>
      <c r="D120" t="s">
        <v>82</v>
      </c>
      <c r="E120" t="s">
        <v>62</v>
      </c>
      <c r="F120" t="s">
        <v>12</v>
      </c>
      <c r="G120">
        <v>50</v>
      </c>
      <c r="H120">
        <v>31</v>
      </c>
      <c r="I120">
        <v>24</v>
      </c>
      <c r="J120">
        <f t="shared" si="26"/>
        <v>26</v>
      </c>
      <c r="K120">
        <f t="shared" si="27"/>
        <v>7</v>
      </c>
      <c r="L120">
        <v>19</v>
      </c>
      <c r="M120">
        <v>23.91</v>
      </c>
      <c r="N120" t="s">
        <v>468</v>
      </c>
      <c r="O120" t="s">
        <v>469</v>
      </c>
      <c r="P120" t="s">
        <v>13</v>
      </c>
      <c r="Q120">
        <v>0.2</v>
      </c>
      <c r="R120" t="s">
        <v>13</v>
      </c>
      <c r="S120" t="s">
        <v>27</v>
      </c>
      <c r="T120" t="s">
        <v>14</v>
      </c>
      <c r="U120">
        <v>0</v>
      </c>
      <c r="V120" t="s">
        <v>14</v>
      </c>
      <c r="W120">
        <f t="shared" si="28"/>
        <v>1</v>
      </c>
      <c r="X120" t="s">
        <v>14</v>
      </c>
      <c r="Y120" t="s">
        <v>14</v>
      </c>
      <c r="Z120">
        <v>0</v>
      </c>
      <c r="AA120">
        <f t="shared" si="22"/>
        <v>3753.640433553252</v>
      </c>
      <c r="AB120">
        <f t="shared" si="23"/>
        <v>54.645774426641538</v>
      </c>
      <c r="AC120">
        <f t="shared" si="24"/>
        <v>19.042569902607603</v>
      </c>
      <c r="AD120" t="s">
        <v>15</v>
      </c>
      <c r="AE120" t="s">
        <v>27</v>
      </c>
      <c r="AF120" t="s">
        <v>24</v>
      </c>
      <c r="AG120" t="s">
        <v>14</v>
      </c>
      <c r="AH120" t="s">
        <v>14</v>
      </c>
      <c r="AI120" t="s">
        <v>18</v>
      </c>
      <c r="AJ120" t="s">
        <v>14</v>
      </c>
      <c r="AK120" t="s">
        <v>14</v>
      </c>
      <c r="AL120" t="s">
        <v>14</v>
      </c>
      <c r="AM120">
        <f t="shared" si="25"/>
        <v>34.847287100251528</v>
      </c>
      <c r="AN120">
        <f t="shared" si="29"/>
        <v>4047.7973409989218</v>
      </c>
      <c r="AO120">
        <f t="shared" si="30"/>
        <v>1642.7021200143729</v>
      </c>
      <c r="AP120">
        <f t="shared" si="31"/>
        <v>557.95185052102045</v>
      </c>
      <c r="AQ120">
        <f t="shared" si="32"/>
        <v>1702.3571685231764</v>
      </c>
      <c r="AR120">
        <f t="shared" si="33"/>
        <v>1847.1433704635285</v>
      </c>
      <c r="AS120">
        <f t="shared" si="34"/>
        <v>1.5433553251649388</v>
      </c>
      <c r="AT120">
        <f t="shared" si="35"/>
        <v>35.59927741124725</v>
      </c>
      <c r="AU120">
        <f t="shared" si="36"/>
        <v>8.8021148653087167</v>
      </c>
      <c r="AV120">
        <f t="shared" si="37"/>
        <v>42.056383388578091</v>
      </c>
      <c r="AW120">
        <f t="shared" si="38"/>
        <v>13.784085603043758</v>
      </c>
      <c r="AX120">
        <f t="shared" si="39"/>
        <v>45.633296700760404</v>
      </c>
      <c r="AY120">
        <f t="shared" si="40"/>
        <v>3380.5870638150495</v>
      </c>
      <c r="AZ120">
        <f t="shared" si="41"/>
        <v>356.29177146963707</v>
      </c>
      <c r="BA120">
        <f t="shared" si="42"/>
        <v>65.145526410348538</v>
      </c>
      <c r="BB120" t="s">
        <v>16</v>
      </c>
      <c r="BC120" t="s">
        <v>16</v>
      </c>
      <c r="BD120">
        <v>254.64</v>
      </c>
      <c r="BE120">
        <v>139.15</v>
      </c>
      <c r="BF120">
        <v>48.49</v>
      </c>
      <c r="BG120">
        <v>90.65</v>
      </c>
      <c r="BH120">
        <v>3.93</v>
      </c>
      <c r="BI120">
        <v>955827</v>
      </c>
      <c r="BJ120">
        <v>228582</v>
      </c>
      <c r="BK120">
        <v>236883</v>
      </c>
      <c r="BL120">
        <v>13736</v>
      </c>
      <c r="BM120">
        <v>10787</v>
      </c>
      <c r="BN120">
        <v>49578</v>
      </c>
      <c r="BO120">
        <v>3538</v>
      </c>
      <c r="BP120">
        <v>10948</v>
      </c>
      <c r="BQ120">
        <v>9199</v>
      </c>
      <c r="BR120">
        <v>390424</v>
      </c>
      <c r="BS120" t="s">
        <v>21</v>
      </c>
      <c r="BT120" t="s">
        <v>467</v>
      </c>
      <c r="BU120">
        <v>0</v>
      </c>
      <c r="BV120">
        <v>0.1</v>
      </c>
      <c r="BW120">
        <v>0</v>
      </c>
      <c r="BX120">
        <v>0</v>
      </c>
      <c r="BY120">
        <v>268.60000000000002</v>
      </c>
      <c r="BZ120">
        <v>269.39999999999998</v>
      </c>
      <c r="CA120">
        <v>1</v>
      </c>
      <c r="CB120">
        <v>1</v>
      </c>
      <c r="CC120">
        <v>0</v>
      </c>
      <c r="CD120">
        <f t="shared" si="43"/>
        <v>2.9695619896064063E-3</v>
      </c>
      <c r="CE120">
        <v>1</v>
      </c>
    </row>
    <row r="121" spans="1:83" x14ac:dyDescent="0.4">
      <c r="A121" t="s">
        <v>1068</v>
      </c>
      <c r="B121" t="s">
        <v>19</v>
      </c>
      <c r="C121" t="s">
        <v>19</v>
      </c>
      <c r="D121" t="s">
        <v>19</v>
      </c>
      <c r="E121" t="s">
        <v>62</v>
      </c>
      <c r="F121" t="s">
        <v>22</v>
      </c>
      <c r="G121">
        <v>70</v>
      </c>
      <c r="H121">
        <v>85</v>
      </c>
      <c r="I121">
        <v>48</v>
      </c>
      <c r="J121">
        <f t="shared" si="26"/>
        <v>22</v>
      </c>
      <c r="K121">
        <f t="shared" si="27"/>
        <v>37</v>
      </c>
      <c r="L121">
        <v>-15</v>
      </c>
      <c r="M121">
        <v>48.21</v>
      </c>
      <c r="N121" t="s">
        <v>470</v>
      </c>
      <c r="O121" t="s">
        <v>471</v>
      </c>
      <c r="P121" t="s">
        <v>13</v>
      </c>
      <c r="Q121">
        <v>0</v>
      </c>
      <c r="R121" t="s">
        <v>13</v>
      </c>
      <c r="S121" t="s">
        <v>15</v>
      </c>
      <c r="T121" t="s">
        <v>14</v>
      </c>
      <c r="U121">
        <v>5</v>
      </c>
      <c r="V121" t="s">
        <v>14</v>
      </c>
      <c r="W121">
        <f t="shared" si="28"/>
        <v>0.66666666666666663</v>
      </c>
      <c r="X121" t="s">
        <v>14</v>
      </c>
      <c r="Y121" t="s">
        <v>14</v>
      </c>
      <c r="Z121">
        <v>0</v>
      </c>
      <c r="AA121">
        <f t="shared" si="22"/>
        <v>3705.8479532163742</v>
      </c>
      <c r="AB121">
        <f t="shared" si="23"/>
        <v>42.10526315789474</v>
      </c>
      <c r="AC121">
        <f t="shared" si="24"/>
        <v>18.71345029239766</v>
      </c>
      <c r="AD121" t="s">
        <v>15</v>
      </c>
      <c r="AE121" t="s">
        <v>15</v>
      </c>
      <c r="AF121" t="s">
        <v>24</v>
      </c>
      <c r="AG121" t="s">
        <v>14</v>
      </c>
      <c r="AH121" t="s">
        <v>14</v>
      </c>
      <c r="AI121" t="s">
        <v>14</v>
      </c>
      <c r="AJ121" t="s">
        <v>14</v>
      </c>
      <c r="AK121" t="s">
        <v>14</v>
      </c>
      <c r="AL121" t="s">
        <v>14</v>
      </c>
      <c r="AM121">
        <f t="shared" si="25"/>
        <v>44.444444444444443</v>
      </c>
      <c r="AN121">
        <f t="shared" si="29"/>
        <v>5106.9444444444443</v>
      </c>
      <c r="AO121">
        <f t="shared" si="30"/>
        <v>4243.0555555555557</v>
      </c>
      <c r="AP121">
        <f t="shared" si="31"/>
        <v>347.22222222222223</v>
      </c>
      <c r="AQ121">
        <f t="shared" si="32"/>
        <v>440.27777777777777</v>
      </c>
      <c r="AR121">
        <f t="shared" si="33"/>
        <v>516.66666666666674</v>
      </c>
      <c r="AS121">
        <f t="shared" si="34"/>
        <v>0.58479532163742687</v>
      </c>
      <c r="AT121">
        <f t="shared" si="35"/>
        <v>23.391812865497077</v>
      </c>
      <c r="AU121">
        <f t="shared" si="36"/>
        <v>3.9162360620070711</v>
      </c>
      <c r="AV121">
        <f t="shared" si="37"/>
        <v>8.6211585531683443</v>
      </c>
      <c r="AW121">
        <f t="shared" si="38"/>
        <v>6.7990209409844979</v>
      </c>
      <c r="AX121">
        <f t="shared" si="39"/>
        <v>10.116943160184933</v>
      </c>
      <c r="AY121">
        <f t="shared" si="40"/>
        <v>2686.8686868686868</v>
      </c>
      <c r="AZ121">
        <f t="shared" si="41"/>
        <v>200</v>
      </c>
      <c r="BA121">
        <f t="shared" si="42"/>
        <v>55.555555555555557</v>
      </c>
      <c r="BB121" t="s">
        <v>30</v>
      </c>
      <c r="BC121" t="s">
        <v>31</v>
      </c>
      <c r="BD121">
        <v>1.71</v>
      </c>
      <c r="BE121">
        <v>0.72</v>
      </c>
      <c r="BF121">
        <v>0.32</v>
      </c>
      <c r="BG121">
        <v>0.4</v>
      </c>
      <c r="BH121">
        <v>0.01</v>
      </c>
      <c r="BI121">
        <v>6337</v>
      </c>
      <c r="BJ121">
        <v>3055</v>
      </c>
      <c r="BK121">
        <v>317</v>
      </c>
      <c r="BL121">
        <v>75</v>
      </c>
      <c r="BM121">
        <v>6</v>
      </c>
      <c r="BN121">
        <v>144</v>
      </c>
      <c r="BO121">
        <v>25</v>
      </c>
      <c r="BP121">
        <v>38</v>
      </c>
      <c r="BQ121">
        <v>17</v>
      </c>
      <c r="BR121">
        <v>2660</v>
      </c>
      <c r="BS121" t="s">
        <v>21</v>
      </c>
      <c r="BT121" t="s">
        <v>135</v>
      </c>
      <c r="BU121">
        <v>0</v>
      </c>
      <c r="BV121">
        <v>0</v>
      </c>
      <c r="BW121">
        <v>0</v>
      </c>
      <c r="BX121">
        <v>0.2</v>
      </c>
      <c r="BY121">
        <v>1.8</v>
      </c>
      <c r="BZ121">
        <v>1.8</v>
      </c>
      <c r="CA121">
        <v>3</v>
      </c>
      <c r="CB121">
        <v>2</v>
      </c>
      <c r="CC121">
        <v>0</v>
      </c>
      <c r="CD121">
        <f t="shared" si="43"/>
        <v>0</v>
      </c>
      <c r="CE121">
        <v>0.66666666666666663</v>
      </c>
    </row>
    <row r="122" spans="1:83" x14ac:dyDescent="0.4">
      <c r="A122" t="s">
        <v>1069</v>
      </c>
      <c r="B122" t="s">
        <v>19</v>
      </c>
      <c r="C122" t="s">
        <v>19</v>
      </c>
      <c r="D122" t="s">
        <v>19</v>
      </c>
      <c r="E122" t="s">
        <v>62</v>
      </c>
      <c r="F122" t="s">
        <v>22</v>
      </c>
      <c r="G122">
        <v>60</v>
      </c>
      <c r="H122">
        <v>48</v>
      </c>
      <c r="I122">
        <v>39</v>
      </c>
      <c r="J122">
        <f t="shared" si="26"/>
        <v>21</v>
      </c>
      <c r="K122">
        <f t="shared" si="27"/>
        <v>9</v>
      </c>
      <c r="L122">
        <v>12</v>
      </c>
      <c r="M122">
        <v>39.19</v>
      </c>
      <c r="N122" t="s">
        <v>472</v>
      </c>
      <c r="O122" t="s">
        <v>473</v>
      </c>
      <c r="P122" t="s">
        <v>13</v>
      </c>
      <c r="Q122">
        <v>0.1</v>
      </c>
      <c r="R122" t="s">
        <v>13</v>
      </c>
      <c r="S122" t="s">
        <v>15</v>
      </c>
      <c r="T122" t="s">
        <v>14</v>
      </c>
      <c r="U122">
        <v>2.5</v>
      </c>
      <c r="V122" t="s">
        <v>14</v>
      </c>
      <c r="W122">
        <f t="shared" si="28"/>
        <v>1</v>
      </c>
      <c r="X122" t="s">
        <v>14</v>
      </c>
      <c r="Y122" t="s">
        <v>14</v>
      </c>
      <c r="Z122">
        <v>0</v>
      </c>
      <c r="AA122">
        <f t="shared" si="22"/>
        <v>4401.1538461538457</v>
      </c>
      <c r="AB122">
        <f t="shared" si="23"/>
        <v>70.384615384615387</v>
      </c>
      <c r="AC122">
        <f t="shared" si="24"/>
        <v>26.153846153846153</v>
      </c>
      <c r="AD122" t="s">
        <v>15</v>
      </c>
      <c r="AE122" t="s">
        <v>15</v>
      </c>
      <c r="AF122" t="s">
        <v>18</v>
      </c>
      <c r="AG122" t="s">
        <v>14</v>
      </c>
      <c r="AH122" t="s">
        <v>14</v>
      </c>
      <c r="AI122" t="s">
        <v>18</v>
      </c>
      <c r="AJ122" t="s">
        <v>14</v>
      </c>
      <c r="AK122" t="s">
        <v>14</v>
      </c>
      <c r="AL122" t="s">
        <v>14</v>
      </c>
      <c r="AM122">
        <f t="shared" si="25"/>
        <v>37.158469945355186</v>
      </c>
      <c r="AN122">
        <f t="shared" si="29"/>
        <v>4486.3387978142073</v>
      </c>
      <c r="AO122">
        <f t="shared" si="30"/>
        <v>2450.5464480874316</v>
      </c>
      <c r="AP122">
        <f t="shared" si="31"/>
        <v>475.40983606557376</v>
      </c>
      <c r="AQ122">
        <f t="shared" si="32"/>
        <v>1437.7049180327867</v>
      </c>
      <c r="AR122">
        <f t="shared" si="33"/>
        <v>1560.3825136612022</v>
      </c>
      <c r="AS122">
        <f t="shared" si="34"/>
        <v>1.5384615384615383</v>
      </c>
      <c r="AT122">
        <f t="shared" si="35"/>
        <v>44.230769230769226</v>
      </c>
      <c r="AU122">
        <f t="shared" si="36"/>
        <v>5.6211936662606581</v>
      </c>
      <c r="AV122">
        <f t="shared" si="37"/>
        <v>32.046285018270403</v>
      </c>
      <c r="AW122">
        <f t="shared" si="38"/>
        <v>10.596833130328868</v>
      </c>
      <c r="AX122">
        <f t="shared" si="39"/>
        <v>34.780755176613887</v>
      </c>
      <c r="AY122">
        <f t="shared" si="40"/>
        <v>4190.909090909091</v>
      </c>
      <c r="AZ122">
        <f t="shared" si="41"/>
        <v>252.18579234972677</v>
      </c>
      <c r="BA122">
        <f t="shared" si="42"/>
        <v>62.841530054644799</v>
      </c>
      <c r="BB122" t="s">
        <v>31</v>
      </c>
      <c r="BC122" t="s">
        <v>31</v>
      </c>
      <c r="BD122">
        <v>5.2</v>
      </c>
      <c r="BE122">
        <v>3.66</v>
      </c>
      <c r="BF122">
        <v>1.36</v>
      </c>
      <c r="BG122">
        <v>2.2999999999999998</v>
      </c>
      <c r="BH122">
        <v>0.08</v>
      </c>
      <c r="BI122">
        <v>22886</v>
      </c>
      <c r="BJ122">
        <v>8969</v>
      </c>
      <c r="BK122">
        <v>5262</v>
      </c>
      <c r="BL122">
        <v>468</v>
      </c>
      <c r="BM122">
        <v>57</v>
      </c>
      <c r="BN122">
        <v>923</v>
      </c>
      <c r="BO122">
        <v>292</v>
      </c>
      <c r="BP122">
        <v>265</v>
      </c>
      <c r="BQ122">
        <v>184</v>
      </c>
      <c r="BR122">
        <v>6454</v>
      </c>
      <c r="BS122" t="s">
        <v>21</v>
      </c>
      <c r="BT122" t="s">
        <v>147</v>
      </c>
      <c r="BU122">
        <v>0</v>
      </c>
      <c r="BV122">
        <v>0</v>
      </c>
      <c r="BW122">
        <v>0</v>
      </c>
      <c r="BX122">
        <v>0.1</v>
      </c>
      <c r="BY122">
        <v>10.9</v>
      </c>
      <c r="BZ122">
        <v>10.9</v>
      </c>
      <c r="CA122">
        <v>2</v>
      </c>
      <c r="CB122">
        <v>2</v>
      </c>
      <c r="CC122">
        <v>0</v>
      </c>
      <c r="CD122">
        <f t="shared" si="43"/>
        <v>0</v>
      </c>
      <c r="CE122">
        <v>1</v>
      </c>
    </row>
    <row r="123" spans="1:83" x14ac:dyDescent="0.4">
      <c r="A123" t="s">
        <v>1070</v>
      </c>
      <c r="B123" t="s">
        <v>19</v>
      </c>
      <c r="C123" t="s">
        <v>19</v>
      </c>
      <c r="D123" t="s">
        <v>19</v>
      </c>
      <c r="E123" t="s">
        <v>62</v>
      </c>
      <c r="F123" t="s">
        <v>22</v>
      </c>
      <c r="G123">
        <v>70</v>
      </c>
      <c r="H123">
        <v>50</v>
      </c>
      <c r="I123">
        <v>60.5</v>
      </c>
      <c r="J123">
        <f t="shared" si="26"/>
        <v>9.5</v>
      </c>
      <c r="K123">
        <f t="shared" si="27"/>
        <v>-10.5</v>
      </c>
      <c r="L123">
        <v>20</v>
      </c>
      <c r="M123">
        <v>60.64</v>
      </c>
      <c r="N123" t="s">
        <v>474</v>
      </c>
      <c r="O123" t="s">
        <v>475</v>
      </c>
      <c r="P123" t="s">
        <v>13</v>
      </c>
      <c r="Q123">
        <v>0</v>
      </c>
      <c r="R123" t="s">
        <v>13</v>
      </c>
      <c r="S123" t="s">
        <v>15</v>
      </c>
      <c r="T123" t="s">
        <v>14</v>
      </c>
      <c r="U123">
        <v>0</v>
      </c>
      <c r="V123" t="s">
        <v>14</v>
      </c>
      <c r="W123">
        <f t="shared" si="28"/>
        <v>0.66666666666666663</v>
      </c>
      <c r="X123" t="s">
        <v>14</v>
      </c>
      <c r="Y123" t="s">
        <v>14</v>
      </c>
      <c r="Z123">
        <v>0</v>
      </c>
      <c r="AA123">
        <f t="shared" si="22"/>
        <v>5182.333333333333</v>
      </c>
      <c r="AB123">
        <f t="shared" si="23"/>
        <v>75.666666666666671</v>
      </c>
      <c r="AC123">
        <f t="shared" si="24"/>
        <v>54.166666666666664</v>
      </c>
      <c r="AD123" t="s">
        <v>15</v>
      </c>
      <c r="AE123" t="s">
        <v>15</v>
      </c>
      <c r="AF123" t="s">
        <v>18</v>
      </c>
      <c r="AG123" t="s">
        <v>14</v>
      </c>
      <c r="AH123" t="s">
        <v>14</v>
      </c>
      <c r="AI123" t="s">
        <v>18</v>
      </c>
      <c r="AJ123" t="s">
        <v>14</v>
      </c>
      <c r="AK123" t="s">
        <v>14</v>
      </c>
      <c r="AL123" t="s">
        <v>14</v>
      </c>
      <c r="AM123">
        <f t="shared" si="25"/>
        <v>71.585903083700444</v>
      </c>
      <c r="AN123">
        <f t="shared" si="29"/>
        <v>5520.7048458149775</v>
      </c>
      <c r="AO123">
        <f t="shared" si="30"/>
        <v>4153.0837004405284</v>
      </c>
      <c r="AP123">
        <f t="shared" si="31"/>
        <v>696.47577092511017</v>
      </c>
      <c r="AQ123">
        <f t="shared" si="32"/>
        <v>588.32599118942733</v>
      </c>
      <c r="AR123">
        <f t="shared" si="33"/>
        <v>671.14537444933922</v>
      </c>
      <c r="AS123">
        <f t="shared" si="34"/>
        <v>0.16666666666666666</v>
      </c>
      <c r="AT123">
        <f t="shared" si="35"/>
        <v>21.5</v>
      </c>
      <c r="AU123">
        <f t="shared" si="36"/>
        <v>6.0644749441429937</v>
      </c>
      <c r="AV123">
        <f t="shared" si="37"/>
        <v>10.656718799872326</v>
      </c>
      <c r="AW123">
        <f t="shared" si="38"/>
        <v>12.615703798276412</v>
      </c>
      <c r="AX123">
        <f t="shared" si="39"/>
        <v>12.156878391318225</v>
      </c>
      <c r="AY123">
        <f t="shared" si="40"/>
        <v>4117.1232876712329</v>
      </c>
      <c r="AZ123">
        <f t="shared" si="41"/>
        <v>334.80176211453744</v>
      </c>
      <c r="BA123">
        <f t="shared" si="42"/>
        <v>28.41409691629956</v>
      </c>
      <c r="BB123" t="s">
        <v>30</v>
      </c>
      <c r="BC123" t="s">
        <v>31</v>
      </c>
      <c r="BD123">
        <v>6</v>
      </c>
      <c r="BE123">
        <v>4.54</v>
      </c>
      <c r="BF123">
        <v>3.25</v>
      </c>
      <c r="BG123">
        <v>1.29</v>
      </c>
      <c r="BH123">
        <v>0.01</v>
      </c>
      <c r="BI123">
        <v>31094</v>
      </c>
      <c r="BJ123">
        <v>18855</v>
      </c>
      <c r="BK123">
        <v>2671</v>
      </c>
      <c r="BL123">
        <v>832</v>
      </c>
      <c r="BM123">
        <v>30</v>
      </c>
      <c r="BN123">
        <v>1520</v>
      </c>
      <c r="BO123">
        <v>780</v>
      </c>
      <c r="BP123">
        <v>285</v>
      </c>
      <c r="BQ123">
        <v>91</v>
      </c>
      <c r="BR123">
        <v>6011</v>
      </c>
      <c r="BS123" t="s">
        <v>21</v>
      </c>
      <c r="BT123" t="s">
        <v>147</v>
      </c>
      <c r="BU123">
        <v>0</v>
      </c>
      <c r="BV123">
        <v>0</v>
      </c>
      <c r="BW123">
        <v>0</v>
      </c>
      <c r="BX123">
        <v>0</v>
      </c>
      <c r="BY123">
        <v>6.2</v>
      </c>
      <c r="BZ123">
        <v>6.2</v>
      </c>
      <c r="CA123">
        <v>3</v>
      </c>
      <c r="CB123">
        <v>2</v>
      </c>
      <c r="CC123">
        <v>0</v>
      </c>
      <c r="CD123">
        <f t="shared" si="43"/>
        <v>0</v>
      </c>
      <c r="CE123">
        <v>0.66666666666666663</v>
      </c>
    </row>
    <row r="124" spans="1:83" x14ac:dyDescent="0.4">
      <c r="A124" t="s">
        <v>1071</v>
      </c>
      <c r="B124" t="s">
        <v>25</v>
      </c>
      <c r="C124" t="s">
        <v>82</v>
      </c>
      <c r="D124" t="s">
        <v>82</v>
      </c>
      <c r="E124" t="s">
        <v>62</v>
      </c>
      <c r="F124" t="s">
        <v>22</v>
      </c>
      <c r="G124">
        <v>20</v>
      </c>
      <c r="H124">
        <v>27</v>
      </c>
      <c r="I124">
        <v>25.5</v>
      </c>
      <c r="J124">
        <f t="shared" si="26"/>
        <v>-5.5</v>
      </c>
      <c r="K124">
        <f t="shared" si="27"/>
        <v>1.5</v>
      </c>
      <c r="L124">
        <v>-7</v>
      </c>
      <c r="M124">
        <v>25.5</v>
      </c>
      <c r="N124" t="s">
        <v>476</v>
      </c>
      <c r="O124" t="s">
        <v>477</v>
      </c>
      <c r="P124" t="s">
        <v>13</v>
      </c>
      <c r="Q124">
        <v>1</v>
      </c>
      <c r="R124" t="s">
        <v>26</v>
      </c>
      <c r="S124" t="s">
        <v>27</v>
      </c>
      <c r="T124" t="s">
        <v>14</v>
      </c>
      <c r="U124">
        <v>5</v>
      </c>
      <c r="V124" t="s">
        <v>14</v>
      </c>
      <c r="W124">
        <f t="shared" si="28"/>
        <v>1</v>
      </c>
      <c r="X124" t="s">
        <v>14</v>
      </c>
      <c r="Y124" t="s">
        <v>14</v>
      </c>
      <c r="Z124">
        <v>0</v>
      </c>
      <c r="AA124">
        <f t="shared" si="22"/>
        <v>4676.2600438276113</v>
      </c>
      <c r="AB124">
        <f t="shared" si="23"/>
        <v>81.446311176040908</v>
      </c>
      <c r="AC124">
        <f t="shared" si="24"/>
        <v>22.059897735573411</v>
      </c>
      <c r="AD124" t="s">
        <v>15</v>
      </c>
      <c r="AE124" t="s">
        <v>15</v>
      </c>
      <c r="AF124" t="s">
        <v>24</v>
      </c>
      <c r="AG124" t="s">
        <v>17</v>
      </c>
      <c r="AH124" t="s">
        <v>14</v>
      </c>
      <c r="AI124" t="s">
        <v>41</v>
      </c>
      <c r="AJ124" t="s">
        <v>14</v>
      </c>
      <c r="AK124" t="s">
        <v>14</v>
      </c>
      <c r="AL124" t="s">
        <v>17</v>
      </c>
      <c r="AM124">
        <f t="shared" si="25"/>
        <v>27.085201793721971</v>
      </c>
      <c r="AN124">
        <f t="shared" si="29"/>
        <v>5129.6860986547081</v>
      </c>
      <c r="AO124">
        <f t="shared" si="30"/>
        <v>1464.1255605381166</v>
      </c>
      <c r="AP124">
        <f t="shared" si="31"/>
        <v>1629.2376681614348</v>
      </c>
      <c r="AQ124">
        <f t="shared" si="32"/>
        <v>1829.9551569506725</v>
      </c>
      <c r="AR124">
        <f t="shared" si="33"/>
        <v>2036.3228699551569</v>
      </c>
      <c r="AS124">
        <f t="shared" si="34"/>
        <v>1.0956902848794741</v>
      </c>
      <c r="AT124">
        <f t="shared" si="35"/>
        <v>59.386413440467507</v>
      </c>
      <c r="AU124">
        <f t="shared" si="36"/>
        <v>10.317155045807398</v>
      </c>
      <c r="AV124">
        <f t="shared" si="37"/>
        <v>35.673823344289808</v>
      </c>
      <c r="AW124">
        <f t="shared" si="38"/>
        <v>31.760962305056296</v>
      </c>
      <c r="AX124">
        <f t="shared" si="39"/>
        <v>39.696831946289947</v>
      </c>
      <c r="AY124">
        <f t="shared" si="40"/>
        <v>2637.4015748031507</v>
      </c>
      <c r="AZ124">
        <f t="shared" si="41"/>
        <v>529.23766816143495</v>
      </c>
      <c r="BA124">
        <f t="shared" si="42"/>
        <v>72.914798206278036</v>
      </c>
      <c r="BB124" t="s">
        <v>31</v>
      </c>
      <c r="BC124" t="s">
        <v>31</v>
      </c>
      <c r="BD124">
        <v>13.69</v>
      </c>
      <c r="BE124">
        <v>11.15</v>
      </c>
      <c r="BF124">
        <v>3.02</v>
      </c>
      <c r="BG124">
        <v>8.1300000000000008</v>
      </c>
      <c r="BH124">
        <v>0.15</v>
      </c>
      <c r="BI124">
        <v>64018</v>
      </c>
      <c r="BJ124">
        <v>16325</v>
      </c>
      <c r="BK124">
        <v>20404</v>
      </c>
      <c r="BL124">
        <v>2463</v>
      </c>
      <c r="BM124">
        <v>574</v>
      </c>
      <c r="BN124">
        <v>5901</v>
      </c>
      <c r="BO124">
        <v>9228</v>
      </c>
      <c r="BP124">
        <v>1999</v>
      </c>
      <c r="BQ124">
        <v>302</v>
      </c>
      <c r="BR124">
        <v>6699</v>
      </c>
      <c r="BS124" t="s">
        <v>21</v>
      </c>
      <c r="BT124" t="s">
        <v>176</v>
      </c>
      <c r="BU124">
        <v>0</v>
      </c>
      <c r="BV124">
        <v>1</v>
      </c>
      <c r="BW124">
        <v>0</v>
      </c>
      <c r="BX124">
        <v>0.6</v>
      </c>
      <c r="BY124">
        <v>16</v>
      </c>
      <c r="BZ124">
        <v>16.399999999999999</v>
      </c>
      <c r="CA124">
        <v>2</v>
      </c>
      <c r="CB124">
        <v>2</v>
      </c>
      <c r="CC124">
        <v>0</v>
      </c>
      <c r="CD124">
        <f t="shared" si="43"/>
        <v>2.4390243902438935E-2</v>
      </c>
      <c r="CE124">
        <v>1</v>
      </c>
    </row>
    <row r="125" spans="1:83" x14ac:dyDescent="0.4">
      <c r="A125" t="s">
        <v>1072</v>
      </c>
      <c r="B125" t="s">
        <v>19</v>
      </c>
      <c r="C125" t="s">
        <v>19</v>
      </c>
      <c r="D125" t="s">
        <v>19</v>
      </c>
      <c r="E125" t="s">
        <v>62</v>
      </c>
      <c r="F125" t="s">
        <v>22</v>
      </c>
      <c r="G125">
        <v>60</v>
      </c>
      <c r="H125">
        <v>82</v>
      </c>
      <c r="I125">
        <v>85</v>
      </c>
      <c r="J125">
        <f t="shared" si="26"/>
        <v>-25</v>
      </c>
      <c r="K125">
        <f t="shared" si="27"/>
        <v>-3</v>
      </c>
      <c r="L125">
        <v>-22</v>
      </c>
      <c r="M125">
        <v>84.9</v>
      </c>
      <c r="N125" t="s">
        <v>478</v>
      </c>
      <c r="O125" t="s">
        <v>479</v>
      </c>
      <c r="P125" t="s">
        <v>13</v>
      </c>
      <c r="Q125">
        <v>0</v>
      </c>
      <c r="R125" t="s">
        <v>13</v>
      </c>
      <c r="S125" t="s">
        <v>15</v>
      </c>
      <c r="T125" t="s">
        <v>14</v>
      </c>
      <c r="U125">
        <v>0</v>
      </c>
      <c r="V125" t="s">
        <v>14</v>
      </c>
      <c r="W125">
        <f t="shared" si="28"/>
        <v>1</v>
      </c>
      <c r="X125" t="s">
        <v>14</v>
      </c>
      <c r="Y125" t="s">
        <v>14</v>
      </c>
      <c r="Z125">
        <v>0</v>
      </c>
      <c r="AA125">
        <f t="shared" si="22"/>
        <v>3360.7476635514017</v>
      </c>
      <c r="AB125">
        <f t="shared" si="23"/>
        <v>97.196261682242991</v>
      </c>
      <c r="AC125">
        <f t="shared" si="24"/>
        <v>41.822429906542055</v>
      </c>
      <c r="AD125" t="s">
        <v>15</v>
      </c>
      <c r="AE125" t="s">
        <v>15</v>
      </c>
      <c r="AF125" t="s">
        <v>18</v>
      </c>
      <c r="AG125" t="s">
        <v>14</v>
      </c>
      <c r="AH125" t="s">
        <v>14</v>
      </c>
      <c r="AI125" t="s">
        <v>14</v>
      </c>
      <c r="AJ125" t="s">
        <v>14</v>
      </c>
      <c r="AK125" t="s">
        <v>14</v>
      </c>
      <c r="AL125" t="s">
        <v>14</v>
      </c>
      <c r="AM125">
        <f t="shared" si="25"/>
        <v>43.028846153846153</v>
      </c>
      <c r="AN125">
        <f t="shared" si="29"/>
        <v>3452.8846153846152</v>
      </c>
      <c r="AO125">
        <f t="shared" si="30"/>
        <v>2935.5769230769229</v>
      </c>
      <c r="AP125">
        <f t="shared" si="31"/>
        <v>152.88461538461539</v>
      </c>
      <c r="AQ125">
        <f t="shared" si="32"/>
        <v>318.75</v>
      </c>
      <c r="AR125">
        <f t="shared" si="33"/>
        <v>364.42307692307691</v>
      </c>
      <c r="AS125">
        <f t="shared" si="34"/>
        <v>2.1028037383177569</v>
      </c>
      <c r="AT125">
        <f t="shared" si="35"/>
        <v>55.373831775700928</v>
      </c>
      <c r="AU125">
        <f t="shared" si="36"/>
        <v>1.5037593984962405</v>
      </c>
      <c r="AV125">
        <f t="shared" si="37"/>
        <v>9.2314118629908108</v>
      </c>
      <c r="AW125">
        <f t="shared" si="38"/>
        <v>4.4277360066833751</v>
      </c>
      <c r="AX125">
        <f t="shared" si="39"/>
        <v>10.554163185742134</v>
      </c>
      <c r="AY125">
        <f t="shared" si="40"/>
        <v>158.3333333333332</v>
      </c>
      <c r="AZ125">
        <f t="shared" si="41"/>
        <v>51.92307692307692</v>
      </c>
      <c r="BA125">
        <f t="shared" si="42"/>
        <v>56.971153846153847</v>
      </c>
      <c r="BB125" t="s">
        <v>16</v>
      </c>
      <c r="BC125" t="s">
        <v>16</v>
      </c>
      <c r="BD125">
        <v>4.28</v>
      </c>
      <c r="BE125">
        <v>4.16</v>
      </c>
      <c r="BF125">
        <v>1.79</v>
      </c>
      <c r="BG125">
        <v>2.37</v>
      </c>
      <c r="BH125">
        <v>0.09</v>
      </c>
      <c r="BI125">
        <v>14384</v>
      </c>
      <c r="BJ125">
        <v>12212</v>
      </c>
      <c r="BK125">
        <v>1326</v>
      </c>
      <c r="BL125">
        <v>315</v>
      </c>
      <c r="BM125">
        <v>19</v>
      </c>
      <c r="BN125">
        <v>216</v>
      </c>
      <c r="BO125">
        <v>86</v>
      </c>
      <c r="BP125">
        <v>125</v>
      </c>
      <c r="BQ125">
        <v>65</v>
      </c>
      <c r="BR125">
        <v>19</v>
      </c>
      <c r="BS125" t="s">
        <v>21</v>
      </c>
      <c r="BT125" t="s">
        <v>147</v>
      </c>
      <c r="BU125">
        <v>0</v>
      </c>
      <c r="BV125">
        <v>0</v>
      </c>
      <c r="BW125">
        <v>0</v>
      </c>
      <c r="BX125">
        <v>0</v>
      </c>
      <c r="BY125">
        <v>4.4000000000000004</v>
      </c>
      <c r="BZ125">
        <v>4.4000000000000004</v>
      </c>
      <c r="CA125">
        <v>1</v>
      </c>
      <c r="CB125">
        <v>1</v>
      </c>
      <c r="CC125">
        <v>0</v>
      </c>
      <c r="CD125">
        <f t="shared" si="43"/>
        <v>0</v>
      </c>
      <c r="CE125">
        <v>1</v>
      </c>
    </row>
    <row r="126" spans="1:83" x14ac:dyDescent="0.4">
      <c r="A126" t="s">
        <v>1073</v>
      </c>
      <c r="B126" t="s">
        <v>19</v>
      </c>
      <c r="C126" t="s">
        <v>19</v>
      </c>
      <c r="D126" t="s">
        <v>19</v>
      </c>
      <c r="E126" t="s">
        <v>62</v>
      </c>
      <c r="F126" t="s">
        <v>22</v>
      </c>
      <c r="G126">
        <v>60</v>
      </c>
      <c r="H126">
        <v>68</v>
      </c>
      <c r="I126">
        <v>48.5</v>
      </c>
      <c r="J126">
        <f t="shared" si="26"/>
        <v>11.5</v>
      </c>
      <c r="K126">
        <f t="shared" si="27"/>
        <v>19.5</v>
      </c>
      <c r="L126">
        <v>-8</v>
      </c>
      <c r="M126">
        <v>48.32</v>
      </c>
      <c r="N126" t="s">
        <v>481</v>
      </c>
      <c r="O126" t="s">
        <v>482</v>
      </c>
      <c r="P126" t="s">
        <v>13</v>
      </c>
      <c r="Q126">
        <v>0.1</v>
      </c>
      <c r="R126" t="s">
        <v>13</v>
      </c>
      <c r="S126" t="s">
        <v>15</v>
      </c>
      <c r="T126" t="s">
        <v>14</v>
      </c>
      <c r="U126">
        <v>0</v>
      </c>
      <c r="V126" t="s">
        <v>14</v>
      </c>
      <c r="W126">
        <f t="shared" si="28"/>
        <v>0.5</v>
      </c>
      <c r="X126" t="s">
        <v>14</v>
      </c>
      <c r="Y126" t="s">
        <v>14</v>
      </c>
      <c r="Z126">
        <v>0</v>
      </c>
      <c r="AA126">
        <f t="shared" si="22"/>
        <v>3694.5351758793968</v>
      </c>
      <c r="AB126">
        <f t="shared" si="23"/>
        <v>50.062814070351756</v>
      </c>
      <c r="AC126">
        <f t="shared" si="24"/>
        <v>29.459798994974879</v>
      </c>
      <c r="AD126" t="s">
        <v>15</v>
      </c>
      <c r="AE126" t="s">
        <v>27</v>
      </c>
      <c r="AF126" t="s">
        <v>18</v>
      </c>
      <c r="AG126" t="s">
        <v>14</v>
      </c>
      <c r="AH126" t="s">
        <v>14</v>
      </c>
      <c r="AI126" t="s">
        <v>41</v>
      </c>
      <c r="AJ126" t="s">
        <v>14</v>
      </c>
      <c r="AK126" t="s">
        <v>14</v>
      </c>
      <c r="AL126" t="s">
        <v>14</v>
      </c>
      <c r="AM126">
        <f t="shared" si="25"/>
        <v>58.845671267252207</v>
      </c>
      <c r="AN126">
        <f t="shared" si="29"/>
        <v>4439.899623588457</v>
      </c>
      <c r="AO126">
        <f t="shared" si="30"/>
        <v>3565.8720200752823</v>
      </c>
      <c r="AP126">
        <f t="shared" si="31"/>
        <v>322.33375156838144</v>
      </c>
      <c r="AQ126">
        <f t="shared" si="32"/>
        <v>483.56336260978674</v>
      </c>
      <c r="AR126">
        <f t="shared" si="33"/>
        <v>551.69385194479298</v>
      </c>
      <c r="AS126">
        <f t="shared" si="34"/>
        <v>7.3492462311557789</v>
      </c>
      <c r="AT126">
        <f t="shared" si="35"/>
        <v>20.603015075376884</v>
      </c>
      <c r="AU126">
        <f t="shared" si="36"/>
        <v>3.1848753744418699</v>
      </c>
      <c r="AV126">
        <f t="shared" si="37"/>
        <v>10.891312948623749</v>
      </c>
      <c r="AW126">
        <f t="shared" si="38"/>
        <v>7.2599333069575538</v>
      </c>
      <c r="AX126">
        <f t="shared" si="39"/>
        <v>12.425818120160516</v>
      </c>
      <c r="AY126">
        <f t="shared" si="40"/>
        <v>2945.6603773584907</v>
      </c>
      <c r="AZ126">
        <f t="shared" si="41"/>
        <v>141.40526976160604</v>
      </c>
      <c r="BA126">
        <f t="shared" si="42"/>
        <v>41.154328732747807</v>
      </c>
      <c r="BB126" t="s">
        <v>28</v>
      </c>
      <c r="BC126" t="s">
        <v>31</v>
      </c>
      <c r="BD126">
        <v>15.92</v>
      </c>
      <c r="BE126">
        <v>7.97</v>
      </c>
      <c r="BF126">
        <v>4.6900000000000004</v>
      </c>
      <c r="BG126">
        <v>3.28</v>
      </c>
      <c r="BH126">
        <v>1.17</v>
      </c>
      <c r="BI126">
        <v>58817</v>
      </c>
      <c r="BJ126">
        <v>28420</v>
      </c>
      <c r="BK126">
        <v>3854</v>
      </c>
      <c r="BL126">
        <v>912</v>
      </c>
      <c r="BM126">
        <v>59</v>
      </c>
      <c r="BN126">
        <v>1127</v>
      </c>
      <c r="BO126">
        <v>471</v>
      </c>
      <c r="BP126">
        <v>262</v>
      </c>
      <c r="BQ126">
        <v>281</v>
      </c>
      <c r="BR126">
        <v>23418</v>
      </c>
      <c r="BS126" t="s">
        <v>21</v>
      </c>
      <c r="BT126" t="s">
        <v>480</v>
      </c>
      <c r="BU126">
        <v>0</v>
      </c>
      <c r="BV126">
        <v>0</v>
      </c>
      <c r="BW126">
        <v>0</v>
      </c>
      <c r="BX126">
        <v>0</v>
      </c>
      <c r="BY126">
        <v>17.3</v>
      </c>
      <c r="BZ126">
        <v>17.3</v>
      </c>
      <c r="CA126">
        <v>4</v>
      </c>
      <c r="CB126">
        <v>2</v>
      </c>
      <c r="CC126">
        <v>0</v>
      </c>
      <c r="CD126">
        <f t="shared" si="43"/>
        <v>0</v>
      </c>
      <c r="CE126">
        <v>0.5</v>
      </c>
    </row>
    <row r="127" spans="1:83" x14ac:dyDescent="0.4">
      <c r="A127" t="s">
        <v>1074</v>
      </c>
      <c r="B127" t="s">
        <v>19</v>
      </c>
      <c r="C127" t="s">
        <v>19</v>
      </c>
      <c r="D127" t="s">
        <v>19</v>
      </c>
      <c r="E127" t="s">
        <v>62</v>
      </c>
      <c r="F127" t="s">
        <v>22</v>
      </c>
      <c r="G127">
        <v>30</v>
      </c>
      <c r="H127">
        <v>28</v>
      </c>
      <c r="I127">
        <v>15</v>
      </c>
      <c r="J127">
        <f t="shared" si="26"/>
        <v>15</v>
      </c>
      <c r="K127">
        <f t="shared" si="27"/>
        <v>13</v>
      </c>
      <c r="L127">
        <v>2</v>
      </c>
      <c r="M127">
        <v>15.07</v>
      </c>
      <c r="N127" t="s">
        <v>485</v>
      </c>
      <c r="O127" t="s">
        <v>486</v>
      </c>
      <c r="P127" t="s">
        <v>13</v>
      </c>
      <c r="Q127">
        <v>0.3</v>
      </c>
      <c r="R127" t="s">
        <v>26</v>
      </c>
      <c r="S127" t="s">
        <v>15</v>
      </c>
      <c r="T127" t="s">
        <v>14</v>
      </c>
      <c r="U127">
        <v>20</v>
      </c>
      <c r="V127" t="s">
        <v>17</v>
      </c>
      <c r="W127">
        <f t="shared" si="28"/>
        <v>0.5</v>
      </c>
      <c r="X127" t="s">
        <v>14</v>
      </c>
      <c r="Y127" t="s">
        <v>14</v>
      </c>
      <c r="Z127">
        <v>10</v>
      </c>
      <c r="AA127">
        <f t="shared" si="22"/>
        <v>3949.7304582210245</v>
      </c>
      <c r="AB127">
        <f t="shared" si="23"/>
        <v>22.574123989218329</v>
      </c>
      <c r="AC127">
        <f t="shared" si="24"/>
        <v>9.2318059299191368</v>
      </c>
      <c r="AD127" t="s">
        <v>15</v>
      </c>
      <c r="AE127" t="s">
        <v>27</v>
      </c>
      <c r="AF127" t="s">
        <v>18</v>
      </c>
      <c r="AG127" t="s">
        <v>17</v>
      </c>
      <c r="AH127" t="s">
        <v>17</v>
      </c>
      <c r="AI127" t="s">
        <v>41</v>
      </c>
      <c r="AJ127" t="s">
        <v>14</v>
      </c>
      <c r="AK127" t="s">
        <v>14</v>
      </c>
      <c r="AL127" t="s">
        <v>14</v>
      </c>
      <c r="AM127">
        <f t="shared" si="25"/>
        <v>40.895522388059703</v>
      </c>
      <c r="AN127">
        <f t="shared" si="29"/>
        <v>6007.7611940298502</v>
      </c>
      <c r="AO127">
        <f t="shared" si="30"/>
        <v>2636.7164179104475</v>
      </c>
      <c r="AP127">
        <f t="shared" si="31"/>
        <v>2022.0895522388059</v>
      </c>
      <c r="AQ127">
        <f t="shared" si="32"/>
        <v>913.43283582089555</v>
      </c>
      <c r="AR127">
        <f t="shared" si="33"/>
        <v>1348.955223880597</v>
      </c>
      <c r="AS127">
        <f t="shared" si="34"/>
        <v>4.2452830188679247</v>
      </c>
      <c r="AT127">
        <f t="shared" si="35"/>
        <v>13.342318059299192</v>
      </c>
      <c r="AU127">
        <f t="shared" si="36"/>
        <v>12.640365696114479</v>
      </c>
      <c r="AV127">
        <f t="shared" si="37"/>
        <v>15.204213455232038</v>
      </c>
      <c r="AW127">
        <f t="shared" si="38"/>
        <v>33.657954884229355</v>
      </c>
      <c r="AX127">
        <f t="shared" si="39"/>
        <v>22.453542681109013</v>
      </c>
      <c r="AY127">
        <f t="shared" si="40"/>
        <v>3344.9086161879895</v>
      </c>
      <c r="AZ127">
        <f t="shared" si="41"/>
        <v>759.40298507462683</v>
      </c>
      <c r="BA127">
        <f t="shared" si="42"/>
        <v>59.104477611940297</v>
      </c>
      <c r="BB127" t="s">
        <v>31</v>
      </c>
      <c r="BC127" t="s">
        <v>16</v>
      </c>
      <c r="BD127">
        <v>14.84</v>
      </c>
      <c r="BE127">
        <v>3.35</v>
      </c>
      <c r="BF127">
        <v>1.37</v>
      </c>
      <c r="BG127">
        <v>1.98</v>
      </c>
      <c r="BH127">
        <v>0.63</v>
      </c>
      <c r="BI127">
        <v>58614</v>
      </c>
      <c r="BJ127">
        <v>8833</v>
      </c>
      <c r="BK127">
        <v>3060</v>
      </c>
      <c r="BL127">
        <v>782</v>
      </c>
      <c r="BM127">
        <v>284</v>
      </c>
      <c r="BN127">
        <v>2544</v>
      </c>
      <c r="BO127">
        <v>3164</v>
      </c>
      <c r="BP127">
        <v>698</v>
      </c>
      <c r="BQ127">
        <v>761</v>
      </c>
      <c r="BR127">
        <v>38433</v>
      </c>
      <c r="BS127" t="s">
        <v>21</v>
      </c>
      <c r="BT127" t="s">
        <v>420</v>
      </c>
      <c r="BU127">
        <v>0</v>
      </c>
      <c r="BV127">
        <v>0.2</v>
      </c>
      <c r="BW127">
        <v>0</v>
      </c>
      <c r="BX127">
        <v>1.1000000000000001</v>
      </c>
      <c r="BY127">
        <v>16.600000000000001</v>
      </c>
      <c r="BZ127">
        <v>16.899999999999999</v>
      </c>
      <c r="CA127">
        <v>2</v>
      </c>
      <c r="CB127">
        <v>1</v>
      </c>
      <c r="CC127">
        <v>0</v>
      </c>
      <c r="CD127">
        <f t="shared" si="43"/>
        <v>1.7751479289940697E-2</v>
      </c>
      <c r="CE127">
        <v>0.5</v>
      </c>
    </row>
    <row r="128" spans="1:83" x14ac:dyDescent="0.4">
      <c r="A128" t="s">
        <v>1075</v>
      </c>
      <c r="B128" t="s">
        <v>62</v>
      </c>
      <c r="C128" t="s">
        <v>73</v>
      </c>
      <c r="D128" t="s">
        <v>82</v>
      </c>
      <c r="E128" t="s">
        <v>62</v>
      </c>
      <c r="F128" t="s">
        <v>22</v>
      </c>
      <c r="G128">
        <v>20</v>
      </c>
      <c r="H128">
        <v>19</v>
      </c>
      <c r="I128">
        <v>25.5</v>
      </c>
      <c r="J128">
        <f t="shared" si="26"/>
        <v>-5.5</v>
      </c>
      <c r="K128">
        <f t="shared" si="27"/>
        <v>-6.5</v>
      </c>
      <c r="L128">
        <v>1</v>
      </c>
      <c r="M128">
        <v>25.73</v>
      </c>
      <c r="N128" t="s">
        <v>487</v>
      </c>
      <c r="O128" t="s">
        <v>488</v>
      </c>
      <c r="P128" t="s">
        <v>13</v>
      </c>
      <c r="Q128">
        <v>0</v>
      </c>
      <c r="R128" t="s">
        <v>26</v>
      </c>
      <c r="S128" t="s">
        <v>15</v>
      </c>
      <c r="T128" t="s">
        <v>14</v>
      </c>
      <c r="U128">
        <v>0</v>
      </c>
      <c r="V128" t="s">
        <v>14</v>
      </c>
      <c r="W128" t="s">
        <v>52</v>
      </c>
      <c r="X128" t="s">
        <v>14</v>
      </c>
      <c r="Y128" t="s">
        <v>17</v>
      </c>
      <c r="Z128">
        <v>0</v>
      </c>
      <c r="AA128">
        <f t="shared" si="22"/>
        <v>1926.7532467532467</v>
      </c>
      <c r="AB128">
        <f t="shared" si="23"/>
        <v>32.987012987012989</v>
      </c>
      <c r="AC128">
        <f t="shared" si="24"/>
        <v>11.948051948051948</v>
      </c>
      <c r="AD128" t="s">
        <v>27</v>
      </c>
      <c r="AE128" t="s">
        <v>15</v>
      </c>
      <c r="AF128" t="s">
        <v>24</v>
      </c>
      <c r="AG128" t="s">
        <v>14</v>
      </c>
      <c r="AH128" t="s">
        <v>14</v>
      </c>
      <c r="AI128" t="s">
        <v>14</v>
      </c>
      <c r="AJ128" t="s">
        <v>14</v>
      </c>
      <c r="AK128" t="s">
        <v>14</v>
      </c>
      <c r="AL128" t="s">
        <v>14</v>
      </c>
      <c r="AM128">
        <f t="shared" si="25"/>
        <v>36.220472440944881</v>
      </c>
      <c r="AN128">
        <f t="shared" si="29"/>
        <v>2608.6614173228345</v>
      </c>
      <c r="AO128">
        <f t="shared" si="30"/>
        <v>1503.1496062992126</v>
      </c>
      <c r="AP128">
        <f t="shared" si="31"/>
        <v>320.4724409448819</v>
      </c>
      <c r="AQ128">
        <f t="shared" si="32"/>
        <v>719.6850393700787</v>
      </c>
      <c r="AR128">
        <f t="shared" si="33"/>
        <v>785.03937007874015</v>
      </c>
      <c r="AS128">
        <f t="shared" si="34"/>
        <v>3.3766233766233764</v>
      </c>
      <c r="AT128">
        <f t="shared" si="35"/>
        <v>21.038961038961038</v>
      </c>
      <c r="AU128">
        <f t="shared" si="36"/>
        <v>7.4252942952007244</v>
      </c>
      <c r="AV128">
        <f t="shared" si="37"/>
        <v>27.588288560217325</v>
      </c>
      <c r="AW128">
        <f t="shared" si="38"/>
        <v>12.28493812254754</v>
      </c>
      <c r="AX128">
        <f t="shared" si="39"/>
        <v>30.09357078176879</v>
      </c>
      <c r="AY128">
        <f t="shared" si="40"/>
        <v>1590.6976744186047</v>
      </c>
      <c r="AZ128">
        <f t="shared" si="41"/>
        <v>193.70078740157481</v>
      </c>
      <c r="BA128">
        <f t="shared" si="42"/>
        <v>63.779527559055119</v>
      </c>
      <c r="BB128" t="s">
        <v>52</v>
      </c>
      <c r="BC128" t="s">
        <v>52</v>
      </c>
      <c r="BD128">
        <v>3.85</v>
      </c>
      <c r="BE128">
        <v>1.27</v>
      </c>
      <c r="BF128">
        <v>0.46</v>
      </c>
      <c r="BG128">
        <v>0.81</v>
      </c>
      <c r="BH128">
        <v>0.13</v>
      </c>
      <c r="BI128">
        <v>7418</v>
      </c>
      <c r="BJ128">
        <v>1909</v>
      </c>
      <c r="BK128">
        <v>914</v>
      </c>
      <c r="BL128">
        <v>79</v>
      </c>
      <c r="BM128">
        <v>52</v>
      </c>
      <c r="BN128">
        <v>246</v>
      </c>
      <c r="BO128">
        <v>30</v>
      </c>
      <c r="BP128">
        <v>58</v>
      </c>
      <c r="BQ128">
        <v>25</v>
      </c>
      <c r="BR128">
        <v>4104</v>
      </c>
      <c r="BS128" t="s">
        <v>21</v>
      </c>
      <c r="BT128" t="s">
        <v>282</v>
      </c>
      <c r="BU128">
        <v>0</v>
      </c>
      <c r="BV128">
        <v>0</v>
      </c>
      <c r="BW128">
        <v>0</v>
      </c>
      <c r="BX128">
        <v>0.1</v>
      </c>
      <c r="BY128">
        <v>5.0999999999999996</v>
      </c>
      <c r="BZ128">
        <v>5.0999999999999996</v>
      </c>
      <c r="CA128">
        <v>10</v>
      </c>
      <c r="CB128">
        <v>10</v>
      </c>
      <c r="CC128">
        <v>0</v>
      </c>
      <c r="CD128">
        <f t="shared" si="43"/>
        <v>0</v>
      </c>
      <c r="CE128">
        <v>1</v>
      </c>
    </row>
    <row r="129" spans="1:83" x14ac:dyDescent="0.4">
      <c r="A129" t="s">
        <v>1076</v>
      </c>
      <c r="B129" t="s">
        <v>19</v>
      </c>
      <c r="C129" t="s">
        <v>19</v>
      </c>
      <c r="D129" t="s">
        <v>19</v>
      </c>
      <c r="E129" t="s">
        <v>62</v>
      </c>
      <c r="F129" t="s">
        <v>22</v>
      </c>
      <c r="G129">
        <v>30</v>
      </c>
      <c r="H129">
        <v>36</v>
      </c>
      <c r="I129">
        <v>31.5</v>
      </c>
      <c r="J129">
        <f t="shared" si="26"/>
        <v>-1.5</v>
      </c>
      <c r="K129">
        <f t="shared" si="27"/>
        <v>4.5</v>
      </c>
      <c r="L129">
        <v>-6</v>
      </c>
      <c r="M129">
        <v>31.29</v>
      </c>
      <c r="N129" t="s">
        <v>490</v>
      </c>
      <c r="O129" t="s">
        <v>491</v>
      </c>
      <c r="P129" t="s">
        <v>13</v>
      </c>
      <c r="Q129">
        <v>2.6</v>
      </c>
      <c r="R129" t="s">
        <v>26</v>
      </c>
      <c r="S129" t="s">
        <v>35</v>
      </c>
      <c r="T129" t="s">
        <v>17</v>
      </c>
      <c r="U129">
        <v>5</v>
      </c>
      <c r="V129" t="s">
        <v>14</v>
      </c>
      <c r="W129">
        <f t="shared" si="28"/>
        <v>1</v>
      </c>
      <c r="X129" t="s">
        <v>14</v>
      </c>
      <c r="Y129" t="s">
        <v>14</v>
      </c>
      <c r="Z129">
        <v>10</v>
      </c>
      <c r="AA129">
        <f t="shared" si="22"/>
        <v>5137.0267774699905</v>
      </c>
      <c r="AB129">
        <f t="shared" si="23"/>
        <v>53.647276084949212</v>
      </c>
      <c r="AC129">
        <f t="shared" si="24"/>
        <v>21.883656509695292</v>
      </c>
      <c r="AD129" t="s">
        <v>15</v>
      </c>
      <c r="AE129" t="s">
        <v>37</v>
      </c>
      <c r="AF129" t="s">
        <v>24</v>
      </c>
      <c r="AG129" t="s">
        <v>17</v>
      </c>
      <c r="AH129" t="s">
        <v>17</v>
      </c>
      <c r="AI129" t="s">
        <v>18</v>
      </c>
      <c r="AJ129" t="s">
        <v>14</v>
      </c>
      <c r="AK129" t="s">
        <v>14</v>
      </c>
      <c r="AL129" t="s">
        <v>17</v>
      </c>
      <c r="AM129">
        <f t="shared" si="25"/>
        <v>40.79173838209983</v>
      </c>
      <c r="AN129">
        <f t="shared" si="29"/>
        <v>6166.4371772805516</v>
      </c>
      <c r="AO129">
        <f t="shared" si="30"/>
        <v>2996.3855421686749</v>
      </c>
      <c r="AP129">
        <f t="shared" si="31"/>
        <v>1747.3321858864028</v>
      </c>
      <c r="AQ129">
        <f t="shared" si="32"/>
        <v>1261.4457831325301</v>
      </c>
      <c r="AR129">
        <f t="shared" si="33"/>
        <v>1422.7194492254735</v>
      </c>
      <c r="AS129">
        <f t="shared" si="34"/>
        <v>6.1865189289011999</v>
      </c>
      <c r="AT129">
        <f t="shared" si="35"/>
        <v>31.763619575253923</v>
      </c>
      <c r="AU129">
        <f t="shared" si="36"/>
        <v>12.37614089932174</v>
      </c>
      <c r="AV129">
        <f t="shared" si="37"/>
        <v>20.456638847796356</v>
      </c>
      <c r="AW129">
        <f t="shared" si="38"/>
        <v>28.336171044184553</v>
      </c>
      <c r="AX129">
        <f t="shared" si="39"/>
        <v>23.071984815920953</v>
      </c>
      <c r="AY129">
        <f t="shared" si="40"/>
        <v>3939.0438247011948</v>
      </c>
      <c r="AZ129">
        <f t="shared" si="41"/>
        <v>763.1669535283994</v>
      </c>
      <c r="BA129">
        <f t="shared" si="42"/>
        <v>59.208261617900177</v>
      </c>
      <c r="BB129" t="s">
        <v>30</v>
      </c>
      <c r="BC129" t="s">
        <v>30</v>
      </c>
      <c r="BD129">
        <v>10.83</v>
      </c>
      <c r="BE129">
        <v>5.81</v>
      </c>
      <c r="BF129">
        <v>2.37</v>
      </c>
      <c r="BG129">
        <v>3.44</v>
      </c>
      <c r="BH129">
        <v>0.67</v>
      </c>
      <c r="BI129">
        <v>55634</v>
      </c>
      <c r="BJ129">
        <v>17409</v>
      </c>
      <c r="BK129">
        <v>7329</v>
      </c>
      <c r="BL129">
        <v>753</v>
      </c>
      <c r="BM129">
        <v>186</v>
      </c>
      <c r="BN129">
        <v>4434</v>
      </c>
      <c r="BO129">
        <v>4779</v>
      </c>
      <c r="BP129">
        <v>475</v>
      </c>
      <c r="BQ129">
        <v>462</v>
      </c>
      <c r="BR129">
        <v>19774</v>
      </c>
      <c r="BS129" t="s">
        <v>21</v>
      </c>
      <c r="BT129" t="s">
        <v>489</v>
      </c>
      <c r="BU129">
        <v>0</v>
      </c>
      <c r="BV129">
        <v>3.1</v>
      </c>
      <c r="BW129">
        <v>0</v>
      </c>
      <c r="BX129">
        <v>1.8</v>
      </c>
      <c r="BY129">
        <v>13.2</v>
      </c>
      <c r="BZ129">
        <v>14.3</v>
      </c>
      <c r="CA129">
        <v>3</v>
      </c>
      <c r="CB129">
        <v>3</v>
      </c>
      <c r="CC129">
        <v>0</v>
      </c>
      <c r="CD129">
        <f t="shared" si="43"/>
        <v>7.6923076923076983E-2</v>
      </c>
      <c r="CE129">
        <v>1</v>
      </c>
    </row>
    <row r="130" spans="1:83" x14ac:dyDescent="0.4">
      <c r="A130" t="s">
        <v>1077</v>
      </c>
      <c r="B130" t="s">
        <v>62</v>
      </c>
      <c r="C130" t="s">
        <v>73</v>
      </c>
      <c r="D130" t="s">
        <v>82</v>
      </c>
      <c r="E130" t="s">
        <v>62</v>
      </c>
      <c r="F130" t="s">
        <v>12</v>
      </c>
      <c r="G130">
        <v>30</v>
      </c>
      <c r="H130">
        <v>11</v>
      </c>
      <c r="I130">
        <v>20.5</v>
      </c>
      <c r="J130">
        <f t="shared" si="26"/>
        <v>9.5</v>
      </c>
      <c r="K130">
        <f t="shared" si="27"/>
        <v>-9.5</v>
      </c>
      <c r="L130">
        <v>19</v>
      </c>
      <c r="M130">
        <v>20.65</v>
      </c>
      <c r="N130" t="s">
        <v>493</v>
      </c>
      <c r="O130" t="s">
        <v>251</v>
      </c>
      <c r="P130" t="s">
        <v>13</v>
      </c>
      <c r="Q130">
        <v>0</v>
      </c>
      <c r="R130" t="s">
        <v>13</v>
      </c>
      <c r="S130" t="s">
        <v>15</v>
      </c>
      <c r="T130" t="s">
        <v>14</v>
      </c>
      <c r="U130">
        <v>0</v>
      </c>
      <c r="V130" t="s">
        <v>14</v>
      </c>
      <c r="W130">
        <f t="shared" si="28"/>
        <v>1</v>
      </c>
      <c r="X130" t="s">
        <v>17</v>
      </c>
      <c r="Y130" t="s">
        <v>14</v>
      </c>
      <c r="Z130">
        <v>0</v>
      </c>
      <c r="AA130">
        <f t="shared" ref="AA130:AA193" si="44">BI130/BD130</f>
        <v>1660.4615598498538</v>
      </c>
      <c r="AB130">
        <f t="shared" ref="AB130:AB193" si="45">BE130*100/BD130</f>
        <v>41.700264145697204</v>
      </c>
      <c r="AC130">
        <f t="shared" ref="AC130:AC193" si="46">BF130*100/BD130</f>
        <v>9.3632698456833019</v>
      </c>
      <c r="AD130" t="s">
        <v>15</v>
      </c>
      <c r="AE130" t="s">
        <v>27</v>
      </c>
      <c r="AF130" t="s">
        <v>24</v>
      </c>
      <c r="AG130" t="s">
        <v>14</v>
      </c>
      <c r="AH130" t="s">
        <v>17</v>
      </c>
      <c r="AI130" t="s">
        <v>18</v>
      </c>
      <c r="AJ130" t="s">
        <v>14</v>
      </c>
      <c r="AK130" t="s">
        <v>14</v>
      </c>
      <c r="AL130" t="s">
        <v>14</v>
      </c>
      <c r="AM130">
        <f t="shared" ref="AM130:AM193" si="47">BF130*100/BE130</f>
        <v>22.453742290381729</v>
      </c>
      <c r="AN130">
        <f t="shared" si="29"/>
        <v>2856.9428238039673</v>
      </c>
      <c r="AO130">
        <f t="shared" si="30"/>
        <v>822.42873812302048</v>
      </c>
      <c r="AP130">
        <f t="shared" si="31"/>
        <v>749.73328888148023</v>
      </c>
      <c r="AQ130">
        <f t="shared" si="32"/>
        <v>1173.3372228704784</v>
      </c>
      <c r="AR130">
        <f t="shared" si="33"/>
        <v>1284.7807967994665</v>
      </c>
      <c r="AS130">
        <f t="shared" si="34"/>
        <v>1.0600583901014875</v>
      </c>
      <c r="AT130">
        <f t="shared" si="35"/>
        <v>32.336994300013899</v>
      </c>
      <c r="AU130">
        <f t="shared" si="36"/>
        <v>15.899012766354703</v>
      </c>
      <c r="AV130">
        <f t="shared" si="37"/>
        <v>41.069678157163864</v>
      </c>
      <c r="AW130">
        <f t="shared" si="38"/>
        <v>26.242502392232829</v>
      </c>
      <c r="AX130">
        <f t="shared" si="39"/>
        <v>44.970476346068573</v>
      </c>
      <c r="AY130">
        <f t="shared" si="40"/>
        <v>801.97329199952298</v>
      </c>
      <c r="AZ130">
        <f t="shared" si="41"/>
        <v>454.22570428404731</v>
      </c>
      <c r="BA130">
        <f t="shared" si="42"/>
        <v>77.546257709618274</v>
      </c>
      <c r="BB130" t="s">
        <v>16</v>
      </c>
      <c r="BC130" t="s">
        <v>16</v>
      </c>
      <c r="BD130">
        <v>287.72000000000003</v>
      </c>
      <c r="BE130">
        <v>119.98</v>
      </c>
      <c r="BF130">
        <v>26.94</v>
      </c>
      <c r="BG130">
        <v>93.04</v>
      </c>
      <c r="BH130">
        <v>3.05</v>
      </c>
      <c r="BI130">
        <v>477748</v>
      </c>
      <c r="BJ130">
        <v>98675</v>
      </c>
      <c r="BK130">
        <v>140777</v>
      </c>
      <c r="BL130">
        <v>20687</v>
      </c>
      <c r="BM130">
        <v>3060</v>
      </c>
      <c r="BN130">
        <v>54498</v>
      </c>
      <c r="BO130">
        <v>11708</v>
      </c>
      <c r="BP130">
        <v>9717</v>
      </c>
      <c r="BQ130">
        <v>3654</v>
      </c>
      <c r="BR130">
        <v>134523</v>
      </c>
      <c r="BS130" t="s">
        <v>21</v>
      </c>
      <c r="BT130" t="s">
        <v>492</v>
      </c>
      <c r="BU130">
        <v>0</v>
      </c>
      <c r="BV130">
        <v>0</v>
      </c>
      <c r="BW130">
        <v>0.4</v>
      </c>
      <c r="BX130">
        <v>0</v>
      </c>
      <c r="BY130">
        <v>387.1</v>
      </c>
      <c r="BZ130">
        <v>388.9</v>
      </c>
      <c r="CA130">
        <v>1</v>
      </c>
      <c r="CB130">
        <v>1</v>
      </c>
      <c r="CC130">
        <v>0</v>
      </c>
      <c r="CD130">
        <f t="shared" si="43"/>
        <v>4.628439187451705E-3</v>
      </c>
      <c r="CE130">
        <v>1</v>
      </c>
    </row>
    <row r="131" spans="1:83" x14ac:dyDescent="0.4">
      <c r="A131" t="s">
        <v>1078</v>
      </c>
      <c r="B131" t="s">
        <v>62</v>
      </c>
      <c r="C131" t="s">
        <v>73</v>
      </c>
      <c r="D131" t="s">
        <v>82</v>
      </c>
      <c r="E131" t="s">
        <v>62</v>
      </c>
      <c r="F131" t="s">
        <v>12</v>
      </c>
      <c r="G131">
        <v>30</v>
      </c>
      <c r="H131">
        <v>19</v>
      </c>
      <c r="I131">
        <v>16</v>
      </c>
      <c r="J131">
        <f t="shared" ref="J131:J194" si="48">G131-I131</f>
        <v>14</v>
      </c>
      <c r="K131">
        <f t="shared" ref="K131:K194" si="49">H131-I131</f>
        <v>3</v>
      </c>
      <c r="L131">
        <v>11</v>
      </c>
      <c r="M131">
        <v>15.77</v>
      </c>
      <c r="N131" t="s">
        <v>495</v>
      </c>
      <c r="O131" t="s">
        <v>496</v>
      </c>
      <c r="P131" t="s">
        <v>13</v>
      </c>
      <c r="Q131">
        <v>0.1</v>
      </c>
      <c r="R131" t="s">
        <v>13</v>
      </c>
      <c r="S131" t="s">
        <v>15</v>
      </c>
      <c r="T131" t="s">
        <v>14</v>
      </c>
      <c r="U131">
        <v>2.5</v>
      </c>
      <c r="V131" t="s">
        <v>14</v>
      </c>
      <c r="W131">
        <f t="shared" ref="W131:W194" si="50">BC131/BB131</f>
        <v>1</v>
      </c>
      <c r="X131" t="s">
        <v>17</v>
      </c>
      <c r="Y131" t="s">
        <v>14</v>
      </c>
      <c r="Z131">
        <v>0</v>
      </c>
      <c r="AA131">
        <f t="shared" si="44"/>
        <v>2983.9937412779632</v>
      </c>
      <c r="AB131">
        <f t="shared" si="45"/>
        <v>57.364570558633233</v>
      </c>
      <c r="AC131">
        <f t="shared" si="46"/>
        <v>11.857740939654079</v>
      </c>
      <c r="AD131" t="s">
        <v>27</v>
      </c>
      <c r="AE131" t="s">
        <v>27</v>
      </c>
      <c r="AF131" t="s">
        <v>24</v>
      </c>
      <c r="AG131" t="s">
        <v>14</v>
      </c>
      <c r="AH131" t="s">
        <v>17</v>
      </c>
      <c r="AI131" t="s">
        <v>41</v>
      </c>
      <c r="AJ131" t="s">
        <v>14</v>
      </c>
      <c r="AK131" t="s">
        <v>14</v>
      </c>
      <c r="AL131" t="s">
        <v>17</v>
      </c>
      <c r="AM131">
        <f t="shared" si="47"/>
        <v>20.670844084039807</v>
      </c>
      <c r="AN131">
        <f t="shared" ref="AN131:AN194" si="51">SUM(BJ131:BQ131)/BE131</f>
        <v>3091.4338370807222</v>
      </c>
      <c r="AO131">
        <f t="shared" ref="AO131:AO194" si="52">BJ131/BE131</f>
        <v>820.23590121636562</v>
      </c>
      <c r="AP131">
        <f t="shared" ref="AP131:AP194" si="53">SUM(BL131:BO131)/BE131</f>
        <v>847.14338370807218</v>
      </c>
      <c r="AQ131">
        <f t="shared" ref="AQ131:AQ194" si="54">BK131/BE131</f>
        <v>1237.7736822705492</v>
      </c>
      <c r="AR131">
        <f t="shared" ref="AR131:AR194" si="55">SUM(BK131,BP131,BQ131)/BE131</f>
        <v>1424.0545521562844</v>
      </c>
      <c r="AS131">
        <f t="shared" ref="AS131:AS194" si="56">BH131*100/BD131</f>
        <v>2.2370702414682624</v>
      </c>
      <c r="AT131">
        <f t="shared" ref="AT131:AT194" si="57">BG131*100/BD131</f>
        <v>45.506829618979154</v>
      </c>
      <c r="AU131">
        <f t="shared" ref="AU131:AU194" si="58">BN131*100/SUM(BJ131:BQ131)</f>
        <v>17.955994114743426</v>
      </c>
      <c r="AV131">
        <f t="shared" ref="AV131:AV194" si="59">BK131*100/SUM(BJ131:BQ131)</f>
        <v>40.038821708679798</v>
      </c>
      <c r="AW131">
        <f t="shared" ref="AW131:AW194" si="60">SUM(BL131,BM131,BN131,BO131)*100/SUM(BJ131:BQ131)</f>
        <v>27.402927843606697</v>
      </c>
      <c r="AX131">
        <f t="shared" ref="AX131:AX194" si="61">SUM(BK131,BP131,BQ131)*100/SUM(BJ131:BQ131)</f>
        <v>46.064532744489725</v>
      </c>
      <c r="AY131">
        <f t="shared" ref="AY131:AY194" si="62">BR131/(BD131-BE131)</f>
        <v>2826.3935727038288</v>
      </c>
      <c r="AZ131">
        <f t="shared" ref="AZ131:AZ194" si="63">BN131/BE131</f>
        <v>555.09767784740143</v>
      </c>
      <c r="BA131">
        <f t="shared" ref="BA131:BA194" si="64">BG131*100/BE131</f>
        <v>79.329155915960186</v>
      </c>
      <c r="BB131" t="s">
        <v>16</v>
      </c>
      <c r="BC131" t="s">
        <v>16</v>
      </c>
      <c r="BD131">
        <v>236.47</v>
      </c>
      <c r="BE131">
        <v>135.65</v>
      </c>
      <c r="BF131">
        <v>28.04</v>
      </c>
      <c r="BG131">
        <v>107.61</v>
      </c>
      <c r="BH131">
        <v>5.29</v>
      </c>
      <c r="BI131">
        <v>705625</v>
      </c>
      <c r="BJ131">
        <v>111265</v>
      </c>
      <c r="BK131">
        <v>167904</v>
      </c>
      <c r="BL131">
        <v>22636</v>
      </c>
      <c r="BM131">
        <v>12953</v>
      </c>
      <c r="BN131">
        <v>75299</v>
      </c>
      <c r="BO131">
        <v>4027</v>
      </c>
      <c r="BP131">
        <v>15383</v>
      </c>
      <c r="BQ131">
        <v>9886</v>
      </c>
      <c r="BR131">
        <v>284957</v>
      </c>
      <c r="BS131" t="s">
        <v>21</v>
      </c>
      <c r="BT131" t="s">
        <v>494</v>
      </c>
      <c r="BU131">
        <v>0</v>
      </c>
      <c r="BV131">
        <v>0.1</v>
      </c>
      <c r="BW131">
        <v>0.1</v>
      </c>
      <c r="BX131">
        <v>0.1</v>
      </c>
      <c r="BY131">
        <v>257.2</v>
      </c>
      <c r="BZ131">
        <v>258</v>
      </c>
      <c r="CA131">
        <v>1</v>
      </c>
      <c r="CB131">
        <v>1</v>
      </c>
      <c r="CC131">
        <v>0</v>
      </c>
      <c r="CD131">
        <f t="shared" ref="CD131:CD194" si="65">1-(BY131/BZ131)</f>
        <v>3.1007751937984773E-3</v>
      </c>
      <c r="CE131">
        <v>1</v>
      </c>
    </row>
    <row r="132" spans="1:83" x14ac:dyDescent="0.4">
      <c r="A132" t="s">
        <v>1079</v>
      </c>
      <c r="B132" t="s">
        <v>62</v>
      </c>
      <c r="C132" t="s">
        <v>73</v>
      </c>
      <c r="D132" t="s">
        <v>82</v>
      </c>
      <c r="E132" t="s">
        <v>62</v>
      </c>
      <c r="F132" t="s">
        <v>32</v>
      </c>
      <c r="G132">
        <v>30</v>
      </c>
      <c r="H132">
        <v>25</v>
      </c>
      <c r="I132">
        <v>48</v>
      </c>
      <c r="J132">
        <f t="shared" si="48"/>
        <v>-18</v>
      </c>
      <c r="K132">
        <f t="shared" si="49"/>
        <v>-23</v>
      </c>
      <c r="L132">
        <v>5</v>
      </c>
      <c r="M132">
        <v>47.97</v>
      </c>
      <c r="N132" t="s">
        <v>497</v>
      </c>
      <c r="O132" t="s">
        <v>498</v>
      </c>
      <c r="P132" t="s">
        <v>13</v>
      </c>
      <c r="Q132">
        <v>0.1</v>
      </c>
      <c r="R132" t="s">
        <v>26</v>
      </c>
      <c r="S132" t="s">
        <v>15</v>
      </c>
      <c r="T132" t="s">
        <v>14</v>
      </c>
      <c r="U132">
        <v>2.5</v>
      </c>
      <c r="V132" t="s">
        <v>14</v>
      </c>
      <c r="W132">
        <v>0</v>
      </c>
      <c r="X132" t="s">
        <v>14</v>
      </c>
      <c r="Y132" t="s">
        <v>14</v>
      </c>
      <c r="Z132">
        <v>0</v>
      </c>
      <c r="AA132">
        <f t="shared" si="44"/>
        <v>881.81818181818176</v>
      </c>
      <c r="AB132">
        <f t="shared" si="45"/>
        <v>11.363636363636363</v>
      </c>
      <c r="AC132">
        <f t="shared" si="46"/>
        <v>10.714285714285714</v>
      </c>
      <c r="AD132" t="s">
        <v>37</v>
      </c>
      <c r="AE132" t="s">
        <v>15</v>
      </c>
      <c r="AF132" t="s">
        <v>18</v>
      </c>
      <c r="AG132" t="s">
        <v>14</v>
      </c>
      <c r="AH132" t="s">
        <v>14</v>
      </c>
      <c r="AI132" t="s">
        <v>14</v>
      </c>
      <c r="AJ132" t="s">
        <v>14</v>
      </c>
      <c r="AK132" t="s">
        <v>14</v>
      </c>
      <c r="AL132" t="s">
        <v>14</v>
      </c>
      <c r="AM132">
        <f t="shared" si="47"/>
        <v>94.285714285714292</v>
      </c>
      <c r="AN132">
        <f t="shared" si="51"/>
        <v>5388.5714285714294</v>
      </c>
      <c r="AO132">
        <f t="shared" si="52"/>
        <v>3722.8571428571431</v>
      </c>
      <c r="AP132">
        <f t="shared" si="53"/>
        <v>1191.4285714285716</v>
      </c>
      <c r="AQ132">
        <f t="shared" si="54"/>
        <v>71.428571428571431</v>
      </c>
      <c r="AR132">
        <f t="shared" si="55"/>
        <v>474.28571428571433</v>
      </c>
      <c r="AS132">
        <f t="shared" si="56"/>
        <v>58.766233766233768</v>
      </c>
      <c r="AT132">
        <f t="shared" si="57"/>
        <v>0.97402597402597402</v>
      </c>
      <c r="AU132">
        <f t="shared" si="58"/>
        <v>11.134676564156946</v>
      </c>
      <c r="AV132">
        <f t="shared" si="59"/>
        <v>1.3255567338282079</v>
      </c>
      <c r="AW132">
        <f t="shared" si="60"/>
        <v>22.110286320254506</v>
      </c>
      <c r="AX132">
        <f t="shared" si="61"/>
        <v>8.8016967126193002</v>
      </c>
      <c r="AY132">
        <f t="shared" si="62"/>
        <v>303.66300366300368</v>
      </c>
      <c r="AZ132">
        <f t="shared" si="63"/>
        <v>600</v>
      </c>
      <c r="BA132">
        <f t="shared" si="64"/>
        <v>8.5714285714285712</v>
      </c>
      <c r="BB132" t="s">
        <v>33</v>
      </c>
      <c r="BC132" t="s">
        <v>33</v>
      </c>
      <c r="BD132">
        <v>3.08</v>
      </c>
      <c r="BE132">
        <v>0.35</v>
      </c>
      <c r="BF132">
        <v>0.33</v>
      </c>
      <c r="BG132">
        <v>0.03</v>
      </c>
      <c r="BH132">
        <v>1.81</v>
      </c>
      <c r="BI132">
        <v>2716</v>
      </c>
      <c r="BJ132">
        <v>1303</v>
      </c>
      <c r="BK132">
        <v>25</v>
      </c>
      <c r="BL132">
        <v>165</v>
      </c>
      <c r="BM132">
        <v>22</v>
      </c>
      <c r="BN132">
        <v>210</v>
      </c>
      <c r="BO132">
        <v>20</v>
      </c>
      <c r="BP132">
        <v>27</v>
      </c>
      <c r="BQ132">
        <v>114</v>
      </c>
      <c r="BR132">
        <v>829</v>
      </c>
      <c r="BS132" t="s">
        <v>44</v>
      </c>
      <c r="BT132" t="s">
        <v>176</v>
      </c>
      <c r="BU132">
        <v>0</v>
      </c>
      <c r="BV132">
        <v>0</v>
      </c>
      <c r="BW132">
        <v>0</v>
      </c>
      <c r="BX132">
        <v>0</v>
      </c>
      <c r="BY132">
        <v>49.9</v>
      </c>
      <c r="BZ132">
        <v>49.9</v>
      </c>
      <c r="CA132">
        <v>0</v>
      </c>
      <c r="CB132">
        <v>0</v>
      </c>
      <c r="CC132">
        <v>0</v>
      </c>
      <c r="CD132">
        <f t="shared" si="65"/>
        <v>0</v>
      </c>
      <c r="CE132">
        <v>0</v>
      </c>
    </row>
    <row r="133" spans="1:83" x14ac:dyDescent="0.4">
      <c r="A133" t="s">
        <v>1080</v>
      </c>
      <c r="B133" t="s">
        <v>49</v>
      </c>
      <c r="C133" t="s">
        <v>82</v>
      </c>
      <c r="D133" t="s">
        <v>82</v>
      </c>
      <c r="E133" t="s">
        <v>62</v>
      </c>
      <c r="F133" t="s">
        <v>12</v>
      </c>
      <c r="G133">
        <v>50</v>
      </c>
      <c r="H133">
        <v>27</v>
      </c>
      <c r="I133">
        <v>3.5</v>
      </c>
      <c r="J133">
        <f t="shared" si="48"/>
        <v>46.5</v>
      </c>
      <c r="K133">
        <f t="shared" si="49"/>
        <v>23.5</v>
      </c>
      <c r="L133">
        <v>23</v>
      </c>
      <c r="M133">
        <v>3.6</v>
      </c>
      <c r="N133" t="s">
        <v>500</v>
      </c>
      <c r="O133" t="s">
        <v>501</v>
      </c>
      <c r="P133" t="s">
        <v>13</v>
      </c>
      <c r="Q133">
        <v>4.9000000000000004</v>
      </c>
      <c r="R133" t="s">
        <v>26</v>
      </c>
      <c r="S133" t="s">
        <v>35</v>
      </c>
      <c r="T133" t="s">
        <v>14</v>
      </c>
      <c r="U133">
        <v>0</v>
      </c>
      <c r="V133" t="s">
        <v>14</v>
      </c>
      <c r="W133">
        <f t="shared" si="50"/>
        <v>1</v>
      </c>
      <c r="X133" t="s">
        <v>14</v>
      </c>
      <c r="Y133" t="s">
        <v>14</v>
      </c>
      <c r="Z133">
        <v>20</v>
      </c>
      <c r="AA133">
        <f t="shared" si="44"/>
        <v>3301.2531775409179</v>
      </c>
      <c r="AB133">
        <f t="shared" si="45"/>
        <v>6.6984792400660043</v>
      </c>
      <c r="AC133">
        <f t="shared" si="46"/>
        <v>2.7248807028497528</v>
      </c>
      <c r="AD133" t="s">
        <v>15</v>
      </c>
      <c r="AE133" t="s">
        <v>27</v>
      </c>
      <c r="AF133" t="s">
        <v>24</v>
      </c>
      <c r="AG133" t="s">
        <v>17</v>
      </c>
      <c r="AH133" t="s">
        <v>17</v>
      </c>
      <c r="AI133" t="s">
        <v>18</v>
      </c>
      <c r="AJ133" t="s">
        <v>14</v>
      </c>
      <c r="AK133" t="s">
        <v>14</v>
      </c>
      <c r="AL133" t="s">
        <v>14</v>
      </c>
      <c r="AM133">
        <f t="shared" si="47"/>
        <v>40.679094540612518</v>
      </c>
      <c r="AN133">
        <f t="shared" si="51"/>
        <v>4753.4620505992016</v>
      </c>
      <c r="AO133">
        <f t="shared" si="52"/>
        <v>1775.0332889480692</v>
      </c>
      <c r="AP133">
        <f t="shared" si="53"/>
        <v>1688.6817576564581</v>
      </c>
      <c r="AQ133">
        <f t="shared" si="54"/>
        <v>935.35286284953395</v>
      </c>
      <c r="AR133">
        <f t="shared" si="55"/>
        <v>1289.7470039946738</v>
      </c>
      <c r="AS133">
        <f t="shared" si="56"/>
        <v>1.6590108370869197</v>
      </c>
      <c r="AT133">
        <f t="shared" si="57"/>
        <v>3.9780582437675602</v>
      </c>
      <c r="AU133">
        <f t="shared" si="58"/>
        <v>11.584520357998235</v>
      </c>
      <c r="AV133">
        <f t="shared" si="59"/>
        <v>19.677297365435521</v>
      </c>
      <c r="AW133">
        <f t="shared" si="60"/>
        <v>35.525302183565138</v>
      </c>
      <c r="AX133">
        <f t="shared" si="61"/>
        <v>27.132792694370913</v>
      </c>
      <c r="AY133">
        <f t="shared" si="62"/>
        <v>3196.4963433870275</v>
      </c>
      <c r="AZ133">
        <f t="shared" si="63"/>
        <v>550.66577896138483</v>
      </c>
      <c r="BA133">
        <f t="shared" si="64"/>
        <v>59.387483355525966</v>
      </c>
      <c r="BB133" t="s">
        <v>31</v>
      </c>
      <c r="BC133" t="s">
        <v>31</v>
      </c>
      <c r="BD133">
        <v>224.23</v>
      </c>
      <c r="BE133">
        <v>15.02</v>
      </c>
      <c r="BF133">
        <v>6.11</v>
      </c>
      <c r="BG133">
        <v>8.92</v>
      </c>
      <c r="BH133">
        <v>3.72</v>
      </c>
      <c r="BI133">
        <v>740240</v>
      </c>
      <c r="BJ133">
        <v>26661</v>
      </c>
      <c r="BK133">
        <v>14049</v>
      </c>
      <c r="BL133">
        <v>14773</v>
      </c>
      <c r="BM133">
        <v>1164</v>
      </c>
      <c r="BN133">
        <v>8271</v>
      </c>
      <c r="BO133">
        <v>1156</v>
      </c>
      <c r="BP133">
        <v>3500</v>
      </c>
      <c r="BQ133">
        <v>1823</v>
      </c>
      <c r="BR133">
        <v>668739</v>
      </c>
      <c r="BS133" t="s">
        <v>21</v>
      </c>
      <c r="BT133" t="s">
        <v>499</v>
      </c>
      <c r="BU133">
        <v>1.2</v>
      </c>
      <c r="BV133">
        <v>4</v>
      </c>
      <c r="BW133">
        <v>0.5</v>
      </c>
      <c r="BX133">
        <v>0</v>
      </c>
      <c r="BY133">
        <v>278.89999999999998</v>
      </c>
      <c r="BZ133">
        <v>311.8</v>
      </c>
      <c r="CA133">
        <v>2</v>
      </c>
      <c r="CB133">
        <v>2</v>
      </c>
      <c r="CC133">
        <v>0</v>
      </c>
      <c r="CD133">
        <f t="shared" si="65"/>
        <v>0.10551635663887116</v>
      </c>
      <c r="CE133">
        <v>1</v>
      </c>
    </row>
    <row r="134" spans="1:83" x14ac:dyDescent="0.4">
      <c r="A134" t="s">
        <v>1081</v>
      </c>
      <c r="B134" t="s">
        <v>62</v>
      </c>
      <c r="C134" t="s">
        <v>73</v>
      </c>
      <c r="D134" t="s">
        <v>82</v>
      </c>
      <c r="E134" t="s">
        <v>62</v>
      </c>
      <c r="F134" t="s">
        <v>12</v>
      </c>
      <c r="G134">
        <v>30</v>
      </c>
      <c r="H134">
        <v>21</v>
      </c>
      <c r="I134">
        <v>24.5</v>
      </c>
      <c r="J134">
        <f t="shared" si="48"/>
        <v>5.5</v>
      </c>
      <c r="K134">
        <f t="shared" si="49"/>
        <v>-3.5</v>
      </c>
      <c r="L134">
        <v>9</v>
      </c>
      <c r="M134">
        <v>24.56</v>
      </c>
      <c r="N134" t="s">
        <v>503</v>
      </c>
      <c r="O134" t="s">
        <v>504</v>
      </c>
      <c r="P134" t="s">
        <v>13</v>
      </c>
      <c r="Q134">
        <v>0.1</v>
      </c>
      <c r="R134" t="s">
        <v>13</v>
      </c>
      <c r="S134" t="s">
        <v>15</v>
      </c>
      <c r="T134" t="s">
        <v>14</v>
      </c>
      <c r="U134">
        <v>0</v>
      </c>
      <c r="V134" t="s">
        <v>14</v>
      </c>
      <c r="W134">
        <f t="shared" si="50"/>
        <v>1</v>
      </c>
      <c r="X134" t="s">
        <v>17</v>
      </c>
      <c r="Y134" t="s">
        <v>14</v>
      </c>
      <c r="Z134">
        <v>0</v>
      </c>
      <c r="AA134">
        <f t="shared" si="44"/>
        <v>2062.913812785388</v>
      </c>
      <c r="AB134">
        <f t="shared" si="45"/>
        <v>65.253995433789953</v>
      </c>
      <c r="AC134">
        <f t="shared" si="46"/>
        <v>13.991152968036531</v>
      </c>
      <c r="AD134" t="s">
        <v>27</v>
      </c>
      <c r="AE134" t="s">
        <v>27</v>
      </c>
      <c r="AF134" t="s">
        <v>24</v>
      </c>
      <c r="AG134" t="s">
        <v>14</v>
      </c>
      <c r="AH134" t="s">
        <v>14</v>
      </c>
      <c r="AI134" t="s">
        <v>14</v>
      </c>
      <c r="AJ134" t="s">
        <v>14</v>
      </c>
      <c r="AK134" t="s">
        <v>14</v>
      </c>
      <c r="AL134" t="s">
        <v>14</v>
      </c>
      <c r="AM134">
        <f t="shared" si="47"/>
        <v>21.441067133172972</v>
      </c>
      <c r="AN134">
        <f t="shared" si="51"/>
        <v>2390.44390990597</v>
      </c>
      <c r="AO134">
        <f t="shared" si="52"/>
        <v>776.48152197682055</v>
      </c>
      <c r="AP134">
        <f t="shared" si="53"/>
        <v>337.3496610540127</v>
      </c>
      <c r="AQ134">
        <f t="shared" si="54"/>
        <v>1185.1847802317955</v>
      </c>
      <c r="AR134">
        <f t="shared" si="55"/>
        <v>1276.6127268751368</v>
      </c>
      <c r="AS134">
        <f t="shared" si="56"/>
        <v>5.4437785388127855</v>
      </c>
      <c r="AT134">
        <f t="shared" si="57"/>
        <v>51.262842465753423</v>
      </c>
      <c r="AU134">
        <f t="shared" si="58"/>
        <v>7.740932168503865</v>
      </c>
      <c r="AV134">
        <f t="shared" si="59"/>
        <v>49.580112518867494</v>
      </c>
      <c r="AW134">
        <f t="shared" si="60"/>
        <v>14.112427388738965</v>
      </c>
      <c r="AX134">
        <f t="shared" si="61"/>
        <v>53.404839226089742</v>
      </c>
      <c r="AY134">
        <f t="shared" si="62"/>
        <v>1432.5462012320327</v>
      </c>
      <c r="AZ134">
        <f t="shared" si="63"/>
        <v>185.04264159195279</v>
      </c>
      <c r="BA134">
        <f t="shared" si="64"/>
        <v>78.558932866827021</v>
      </c>
      <c r="BB134" t="s">
        <v>16</v>
      </c>
      <c r="BC134" t="s">
        <v>16</v>
      </c>
      <c r="BD134">
        <v>140.16</v>
      </c>
      <c r="BE134">
        <v>91.46</v>
      </c>
      <c r="BF134">
        <v>19.61</v>
      </c>
      <c r="BG134">
        <v>71.849999999999994</v>
      </c>
      <c r="BH134">
        <v>7.63</v>
      </c>
      <c r="BI134">
        <v>289138</v>
      </c>
      <c r="BJ134">
        <v>71017</v>
      </c>
      <c r="BK134">
        <v>108397</v>
      </c>
      <c r="BL134">
        <v>7517</v>
      </c>
      <c r="BM134">
        <v>3548</v>
      </c>
      <c r="BN134">
        <v>16924</v>
      </c>
      <c r="BO134">
        <v>2865</v>
      </c>
      <c r="BP134">
        <v>5604</v>
      </c>
      <c r="BQ134">
        <v>2758</v>
      </c>
      <c r="BR134">
        <v>69765</v>
      </c>
      <c r="BS134" t="s">
        <v>21</v>
      </c>
      <c r="BT134" t="s">
        <v>502</v>
      </c>
      <c r="BU134">
        <v>0</v>
      </c>
      <c r="BV134">
        <v>0</v>
      </c>
      <c r="BW134">
        <v>0.7</v>
      </c>
      <c r="BX134">
        <v>0</v>
      </c>
      <c r="BY134">
        <v>155.9</v>
      </c>
      <c r="BZ134">
        <v>157.19999999999999</v>
      </c>
      <c r="CA134">
        <v>1</v>
      </c>
      <c r="CB134">
        <v>1</v>
      </c>
      <c r="CC134">
        <v>0</v>
      </c>
      <c r="CD134">
        <f t="shared" si="65"/>
        <v>8.269720101781064E-3</v>
      </c>
      <c r="CE134">
        <v>1</v>
      </c>
    </row>
    <row r="135" spans="1:83" x14ac:dyDescent="0.4">
      <c r="A135" t="s">
        <v>1082</v>
      </c>
      <c r="B135" t="s">
        <v>19</v>
      </c>
      <c r="C135" t="s">
        <v>19</v>
      </c>
      <c r="D135" t="s">
        <v>19</v>
      </c>
      <c r="E135" t="s">
        <v>62</v>
      </c>
      <c r="F135" t="s">
        <v>22</v>
      </c>
      <c r="G135">
        <v>20</v>
      </c>
      <c r="H135">
        <v>33</v>
      </c>
      <c r="I135">
        <v>27</v>
      </c>
      <c r="J135">
        <f t="shared" si="48"/>
        <v>-7</v>
      </c>
      <c r="K135">
        <f t="shared" si="49"/>
        <v>6</v>
      </c>
      <c r="L135">
        <v>-13</v>
      </c>
      <c r="M135">
        <v>27.02</v>
      </c>
      <c r="N135" t="s">
        <v>505</v>
      </c>
      <c r="O135" t="s">
        <v>506</v>
      </c>
      <c r="P135" t="s">
        <v>13</v>
      </c>
      <c r="Q135">
        <v>0.6</v>
      </c>
      <c r="R135" t="s">
        <v>13</v>
      </c>
      <c r="S135" t="s">
        <v>15</v>
      </c>
      <c r="T135" t="s">
        <v>14</v>
      </c>
      <c r="U135">
        <v>0</v>
      </c>
      <c r="V135" t="s">
        <v>14</v>
      </c>
      <c r="W135">
        <f t="shared" si="50"/>
        <v>0.9</v>
      </c>
      <c r="X135" t="s">
        <v>14</v>
      </c>
      <c r="Y135" t="s">
        <v>14</v>
      </c>
      <c r="Z135">
        <v>0</v>
      </c>
      <c r="AA135">
        <f t="shared" si="44"/>
        <v>3893.0936454849502</v>
      </c>
      <c r="AB135">
        <f t="shared" si="45"/>
        <v>40.484949832775925</v>
      </c>
      <c r="AC135">
        <f t="shared" si="46"/>
        <v>17.859531772575252</v>
      </c>
      <c r="AD135" t="s">
        <v>15</v>
      </c>
      <c r="AE135" t="s">
        <v>15</v>
      </c>
      <c r="AF135" t="s">
        <v>18</v>
      </c>
      <c r="AG135" t="s">
        <v>14</v>
      </c>
      <c r="AH135" t="s">
        <v>14</v>
      </c>
      <c r="AI135" t="s">
        <v>18</v>
      </c>
      <c r="AJ135" t="s">
        <v>14</v>
      </c>
      <c r="AK135" t="s">
        <v>14</v>
      </c>
      <c r="AL135" t="s">
        <v>14</v>
      </c>
      <c r="AM135">
        <f t="shared" si="47"/>
        <v>44.114002478314745</v>
      </c>
      <c r="AN135">
        <f t="shared" si="51"/>
        <v>4750.4750103263113</v>
      </c>
      <c r="AO135">
        <f t="shared" si="52"/>
        <v>2598.2651796778191</v>
      </c>
      <c r="AP135">
        <f t="shared" si="53"/>
        <v>1110.8632796365139</v>
      </c>
      <c r="AQ135">
        <f t="shared" si="54"/>
        <v>930.77240809582815</v>
      </c>
      <c r="AR135">
        <f t="shared" si="55"/>
        <v>1041.3465510119786</v>
      </c>
      <c r="AS135">
        <f t="shared" si="56"/>
        <v>0.45150501672240806</v>
      </c>
      <c r="AT135">
        <f t="shared" si="57"/>
        <v>22.608695652173914</v>
      </c>
      <c r="AU135">
        <f t="shared" si="58"/>
        <v>5.6482536149344833</v>
      </c>
      <c r="AV135">
        <f t="shared" si="59"/>
        <v>19.593249223973775</v>
      </c>
      <c r="AW135">
        <f t="shared" si="60"/>
        <v>23.384256884243843</v>
      </c>
      <c r="AX135">
        <f t="shared" si="61"/>
        <v>21.920893147492805</v>
      </c>
      <c r="AY135">
        <f t="shared" si="62"/>
        <v>3307.3897162124194</v>
      </c>
      <c r="AZ135">
        <f t="shared" si="63"/>
        <v>268.31887649731516</v>
      </c>
      <c r="BA135">
        <f t="shared" si="64"/>
        <v>55.844692275919037</v>
      </c>
      <c r="BB135" t="s">
        <v>39</v>
      </c>
      <c r="BC135" t="s">
        <v>47</v>
      </c>
      <c r="BD135">
        <v>59.8</v>
      </c>
      <c r="BE135">
        <v>24.21</v>
      </c>
      <c r="BF135">
        <v>10.68</v>
      </c>
      <c r="BG135">
        <v>13.52</v>
      </c>
      <c r="BH135">
        <v>0.27</v>
      </c>
      <c r="BI135">
        <v>232807</v>
      </c>
      <c r="BJ135">
        <v>62904</v>
      </c>
      <c r="BK135">
        <v>22534</v>
      </c>
      <c r="BL135">
        <v>1988</v>
      </c>
      <c r="BM135">
        <v>260</v>
      </c>
      <c r="BN135">
        <v>6496</v>
      </c>
      <c r="BO135">
        <v>18150</v>
      </c>
      <c r="BP135">
        <v>843</v>
      </c>
      <c r="BQ135">
        <v>1834</v>
      </c>
      <c r="BR135">
        <v>117710</v>
      </c>
      <c r="BS135" t="s">
        <v>21</v>
      </c>
      <c r="BT135" t="s">
        <v>176</v>
      </c>
      <c r="BU135">
        <v>0</v>
      </c>
      <c r="BV135">
        <v>0.2</v>
      </c>
      <c r="BW135">
        <v>0</v>
      </c>
      <c r="BX135">
        <v>0</v>
      </c>
      <c r="BY135">
        <v>66.2</v>
      </c>
      <c r="BZ135">
        <v>66.7</v>
      </c>
      <c r="CA135">
        <v>10</v>
      </c>
      <c r="CB135">
        <v>9</v>
      </c>
      <c r="CC135">
        <v>0</v>
      </c>
      <c r="CD135">
        <f t="shared" si="65"/>
        <v>7.496251874062998E-3</v>
      </c>
      <c r="CE135">
        <v>0.9</v>
      </c>
    </row>
    <row r="136" spans="1:83" x14ac:dyDescent="0.4">
      <c r="A136" t="s">
        <v>1083</v>
      </c>
      <c r="B136" t="s">
        <v>25</v>
      </c>
      <c r="C136" t="s">
        <v>82</v>
      </c>
      <c r="D136" t="s">
        <v>82</v>
      </c>
      <c r="E136" t="s">
        <v>62</v>
      </c>
      <c r="F136" t="s">
        <v>22</v>
      </c>
      <c r="G136">
        <v>40</v>
      </c>
      <c r="H136">
        <v>20</v>
      </c>
      <c r="I136">
        <v>18.5</v>
      </c>
      <c r="J136">
        <f t="shared" si="48"/>
        <v>21.5</v>
      </c>
      <c r="K136">
        <f t="shared" si="49"/>
        <v>1.5</v>
      </c>
      <c r="L136">
        <v>20</v>
      </c>
      <c r="M136">
        <v>18.32</v>
      </c>
      <c r="N136" t="s">
        <v>507</v>
      </c>
      <c r="O136" t="s">
        <v>508</v>
      </c>
      <c r="P136" t="s">
        <v>13</v>
      </c>
      <c r="Q136">
        <v>0.2</v>
      </c>
      <c r="R136" t="s">
        <v>13</v>
      </c>
      <c r="S136" t="s">
        <v>15</v>
      </c>
      <c r="T136" t="s">
        <v>14</v>
      </c>
      <c r="U136">
        <v>0</v>
      </c>
      <c r="V136" t="s">
        <v>14</v>
      </c>
      <c r="W136">
        <f t="shared" si="50"/>
        <v>1</v>
      </c>
      <c r="X136" t="s">
        <v>14</v>
      </c>
      <c r="Y136" t="s">
        <v>14</v>
      </c>
      <c r="Z136">
        <v>0</v>
      </c>
      <c r="AA136">
        <f t="shared" si="44"/>
        <v>3499.6001454016719</v>
      </c>
      <c r="AB136">
        <f t="shared" si="45"/>
        <v>59.651035986913847</v>
      </c>
      <c r="AC136">
        <f t="shared" si="46"/>
        <v>10.868774990912394</v>
      </c>
      <c r="AD136" t="s">
        <v>27</v>
      </c>
      <c r="AE136" t="s">
        <v>15</v>
      </c>
      <c r="AF136" t="s">
        <v>24</v>
      </c>
      <c r="AG136" t="s">
        <v>14</v>
      </c>
      <c r="AH136" t="s">
        <v>14</v>
      </c>
      <c r="AI136" t="s">
        <v>14</v>
      </c>
      <c r="AJ136" t="s">
        <v>14</v>
      </c>
      <c r="AK136" t="s">
        <v>14</v>
      </c>
      <c r="AL136" t="s">
        <v>14</v>
      </c>
      <c r="AM136">
        <f t="shared" si="47"/>
        <v>18.2205971968312</v>
      </c>
      <c r="AN136">
        <f t="shared" si="51"/>
        <v>3157.6477757464959</v>
      </c>
      <c r="AO136">
        <f t="shared" si="52"/>
        <v>1074.7105423522241</v>
      </c>
      <c r="AP136">
        <f t="shared" si="53"/>
        <v>394.88117001828152</v>
      </c>
      <c r="AQ136">
        <f t="shared" si="54"/>
        <v>1446.3132236441195</v>
      </c>
      <c r="AR136">
        <f t="shared" si="55"/>
        <v>1688.0560633759903</v>
      </c>
      <c r="AS136">
        <f t="shared" si="56"/>
        <v>1.4540167211922936</v>
      </c>
      <c r="AT136">
        <f t="shared" si="57"/>
        <v>48.745910577971642</v>
      </c>
      <c r="AU136">
        <f t="shared" si="58"/>
        <v>8.5859852944014516</v>
      </c>
      <c r="AV136">
        <f t="shared" si="59"/>
        <v>45.803500781596775</v>
      </c>
      <c r="AW136">
        <f t="shared" si="60"/>
        <v>12.505548372155856</v>
      </c>
      <c r="AX136">
        <f t="shared" si="61"/>
        <v>53.459289422390334</v>
      </c>
      <c r="AY136">
        <f t="shared" si="62"/>
        <v>3997.7477477477473</v>
      </c>
      <c r="AZ136">
        <f t="shared" si="63"/>
        <v>271.11517367458868</v>
      </c>
      <c r="BA136">
        <f t="shared" si="64"/>
        <v>81.71846435100548</v>
      </c>
      <c r="BB136" t="s">
        <v>47</v>
      </c>
      <c r="BC136" t="s">
        <v>47</v>
      </c>
      <c r="BD136">
        <v>27.51</v>
      </c>
      <c r="BE136">
        <v>16.41</v>
      </c>
      <c r="BF136">
        <v>2.99</v>
      </c>
      <c r="BG136">
        <v>13.41</v>
      </c>
      <c r="BH136">
        <v>0.4</v>
      </c>
      <c r="BI136">
        <v>96274</v>
      </c>
      <c r="BJ136">
        <v>17636</v>
      </c>
      <c r="BK136">
        <v>23734</v>
      </c>
      <c r="BL136">
        <v>782</v>
      </c>
      <c r="BM136">
        <v>806</v>
      </c>
      <c r="BN136">
        <v>4449</v>
      </c>
      <c r="BO136">
        <v>443</v>
      </c>
      <c r="BP136">
        <v>1459</v>
      </c>
      <c r="BQ136">
        <v>2508</v>
      </c>
      <c r="BR136">
        <v>44375</v>
      </c>
      <c r="BS136" t="s">
        <v>21</v>
      </c>
      <c r="BT136" t="s">
        <v>394</v>
      </c>
      <c r="BU136">
        <v>0</v>
      </c>
      <c r="BV136">
        <v>0.4</v>
      </c>
      <c r="BW136">
        <v>0.1</v>
      </c>
      <c r="BX136">
        <v>0.1</v>
      </c>
      <c r="BY136">
        <v>37.299999999999997</v>
      </c>
      <c r="BZ136">
        <v>37.6</v>
      </c>
      <c r="CA136">
        <v>9</v>
      </c>
      <c r="CB136">
        <v>9</v>
      </c>
      <c r="CC136">
        <v>0</v>
      </c>
      <c r="CD136">
        <f t="shared" si="65"/>
        <v>7.9787234042554278E-3</v>
      </c>
      <c r="CE136">
        <v>1</v>
      </c>
    </row>
    <row r="137" spans="1:83" x14ac:dyDescent="0.4">
      <c r="A137" t="s">
        <v>1084</v>
      </c>
      <c r="B137" t="s">
        <v>19</v>
      </c>
      <c r="C137" t="s">
        <v>19</v>
      </c>
      <c r="D137" t="s">
        <v>19</v>
      </c>
      <c r="E137" t="s">
        <v>62</v>
      </c>
      <c r="F137" t="s">
        <v>22</v>
      </c>
      <c r="G137">
        <v>80</v>
      </c>
      <c r="H137">
        <v>61</v>
      </c>
      <c r="I137">
        <v>42</v>
      </c>
      <c r="J137">
        <f t="shared" si="48"/>
        <v>38</v>
      </c>
      <c r="K137">
        <f t="shared" si="49"/>
        <v>19</v>
      </c>
      <c r="L137">
        <v>19</v>
      </c>
      <c r="M137">
        <v>41.99</v>
      </c>
      <c r="N137" t="s">
        <v>509</v>
      </c>
      <c r="O137" t="s">
        <v>510</v>
      </c>
      <c r="P137" t="s">
        <v>13</v>
      </c>
      <c r="Q137">
        <v>0</v>
      </c>
      <c r="R137" t="s">
        <v>13</v>
      </c>
      <c r="S137" t="s">
        <v>15</v>
      </c>
      <c r="T137" t="s">
        <v>14</v>
      </c>
      <c r="U137">
        <v>0</v>
      </c>
      <c r="V137" t="s">
        <v>14</v>
      </c>
      <c r="W137">
        <f t="shared" si="50"/>
        <v>1</v>
      </c>
      <c r="X137" t="s">
        <v>14</v>
      </c>
      <c r="Y137" t="s">
        <v>14</v>
      </c>
      <c r="Z137">
        <v>0</v>
      </c>
      <c r="AA137">
        <f t="shared" si="44"/>
        <v>3284.3563109852062</v>
      </c>
      <c r="AB137">
        <f t="shared" si="45"/>
        <v>86.622599937047525</v>
      </c>
      <c r="AC137">
        <f t="shared" si="46"/>
        <v>21.813031161473088</v>
      </c>
      <c r="AD137" t="s">
        <v>15</v>
      </c>
      <c r="AE137" t="s">
        <v>15</v>
      </c>
      <c r="AF137" t="s">
        <v>24</v>
      </c>
      <c r="AG137" t="s">
        <v>14</v>
      </c>
      <c r="AH137" t="s">
        <v>14</v>
      </c>
      <c r="AI137" t="s">
        <v>18</v>
      </c>
      <c r="AJ137" t="s">
        <v>14</v>
      </c>
      <c r="AK137" t="s">
        <v>14</v>
      </c>
      <c r="AL137" t="s">
        <v>14</v>
      </c>
      <c r="AM137">
        <f t="shared" si="47"/>
        <v>25.181686046511629</v>
      </c>
      <c r="AN137">
        <f t="shared" si="51"/>
        <v>3453.015988372093</v>
      </c>
      <c r="AO137">
        <f t="shared" si="52"/>
        <v>1592.0421511627908</v>
      </c>
      <c r="AP137">
        <f t="shared" si="53"/>
        <v>164.2078488372093</v>
      </c>
      <c r="AQ137">
        <f t="shared" si="54"/>
        <v>1401.5261627906978</v>
      </c>
      <c r="AR137">
        <f t="shared" si="55"/>
        <v>1696.765988372093</v>
      </c>
      <c r="AS137">
        <f t="shared" si="56"/>
        <v>0.50361976707585776</v>
      </c>
      <c r="AT137">
        <f t="shared" si="57"/>
        <v>64.841045011016689</v>
      </c>
      <c r="AU137">
        <f t="shared" si="58"/>
        <v>3.0570258979027014</v>
      </c>
      <c r="AV137">
        <f t="shared" si="59"/>
        <v>40.588464331190082</v>
      </c>
      <c r="AW137">
        <f t="shared" si="60"/>
        <v>4.7554905447925329</v>
      </c>
      <c r="AX137">
        <f t="shared" si="61"/>
        <v>49.138665852862871</v>
      </c>
      <c r="AY137">
        <f t="shared" si="62"/>
        <v>2175.0588235294117</v>
      </c>
      <c r="AZ137">
        <f t="shared" si="63"/>
        <v>105.55959302325581</v>
      </c>
      <c r="BA137">
        <f t="shared" si="64"/>
        <v>74.854651162790702</v>
      </c>
      <c r="BB137" t="s">
        <v>28</v>
      </c>
      <c r="BC137" t="s">
        <v>28</v>
      </c>
      <c r="BD137">
        <v>31.77</v>
      </c>
      <c r="BE137">
        <v>27.52</v>
      </c>
      <c r="BF137">
        <v>6.93</v>
      </c>
      <c r="BG137">
        <v>20.6</v>
      </c>
      <c r="BH137">
        <v>0.16</v>
      </c>
      <c r="BI137">
        <v>104344</v>
      </c>
      <c r="BJ137">
        <v>43813</v>
      </c>
      <c r="BK137">
        <v>38570</v>
      </c>
      <c r="BL137">
        <v>984</v>
      </c>
      <c r="BM137">
        <v>249</v>
      </c>
      <c r="BN137">
        <v>2905</v>
      </c>
      <c r="BO137">
        <v>381</v>
      </c>
      <c r="BP137">
        <v>1981</v>
      </c>
      <c r="BQ137">
        <v>6144</v>
      </c>
      <c r="BR137">
        <v>9244</v>
      </c>
      <c r="BS137" t="s">
        <v>21</v>
      </c>
      <c r="BT137" t="s">
        <v>382</v>
      </c>
      <c r="BU137">
        <v>0</v>
      </c>
      <c r="BV137">
        <v>0</v>
      </c>
      <c r="BW137">
        <v>12.2</v>
      </c>
      <c r="BX137">
        <v>0</v>
      </c>
      <c r="BY137">
        <v>34.700000000000003</v>
      </c>
      <c r="BZ137">
        <v>39.6</v>
      </c>
      <c r="CA137">
        <v>4</v>
      </c>
      <c r="CB137">
        <v>4</v>
      </c>
      <c r="CC137">
        <v>0</v>
      </c>
      <c r="CD137">
        <f t="shared" si="65"/>
        <v>0.1237373737373737</v>
      </c>
      <c r="CE137">
        <v>1</v>
      </c>
    </row>
    <row r="138" spans="1:83" x14ac:dyDescent="0.4">
      <c r="A138" t="s">
        <v>1085</v>
      </c>
      <c r="B138" t="s">
        <v>19</v>
      </c>
      <c r="C138" t="s">
        <v>19</v>
      </c>
      <c r="D138" t="s">
        <v>19</v>
      </c>
      <c r="E138" t="s">
        <v>62</v>
      </c>
      <c r="F138" t="s">
        <v>22</v>
      </c>
      <c r="G138">
        <v>50</v>
      </c>
      <c r="H138">
        <v>61</v>
      </c>
      <c r="I138">
        <v>36.5</v>
      </c>
      <c r="J138">
        <f t="shared" si="48"/>
        <v>13.5</v>
      </c>
      <c r="K138">
        <f t="shared" si="49"/>
        <v>24.5</v>
      </c>
      <c r="L138">
        <v>-11</v>
      </c>
      <c r="M138">
        <v>36.409999999999997</v>
      </c>
      <c r="N138" t="s">
        <v>511</v>
      </c>
      <c r="O138" t="s">
        <v>512</v>
      </c>
      <c r="P138" t="s">
        <v>13</v>
      </c>
      <c r="Q138">
        <v>0.1</v>
      </c>
      <c r="R138" t="s">
        <v>13</v>
      </c>
      <c r="S138" t="s">
        <v>15</v>
      </c>
      <c r="T138" t="s">
        <v>14</v>
      </c>
      <c r="U138">
        <v>0</v>
      </c>
      <c r="V138" t="s">
        <v>14</v>
      </c>
      <c r="W138">
        <f t="shared" si="50"/>
        <v>0.2857142857142857</v>
      </c>
      <c r="X138" t="s">
        <v>14</v>
      </c>
      <c r="Y138" t="s">
        <v>14</v>
      </c>
      <c r="Z138">
        <v>0</v>
      </c>
      <c r="AA138">
        <f t="shared" si="44"/>
        <v>4625.8526798509602</v>
      </c>
      <c r="AB138">
        <f t="shared" si="45"/>
        <v>47.692748638578387</v>
      </c>
      <c r="AC138">
        <f t="shared" si="46"/>
        <v>25.910002866150755</v>
      </c>
      <c r="AD138" t="s">
        <v>15</v>
      </c>
      <c r="AE138" t="s">
        <v>15</v>
      </c>
      <c r="AF138" t="s">
        <v>18</v>
      </c>
      <c r="AG138" t="s">
        <v>14</v>
      </c>
      <c r="AH138" t="s">
        <v>14</v>
      </c>
      <c r="AI138" t="s">
        <v>18</v>
      </c>
      <c r="AJ138" t="s">
        <v>14</v>
      </c>
      <c r="AK138" t="s">
        <v>14</v>
      </c>
      <c r="AL138" t="s">
        <v>17</v>
      </c>
      <c r="AM138">
        <f t="shared" si="47"/>
        <v>54.326923076923066</v>
      </c>
      <c r="AN138">
        <f t="shared" si="51"/>
        <v>5347.475961538461</v>
      </c>
      <c r="AO138">
        <f t="shared" si="52"/>
        <v>3531.1298076923076</v>
      </c>
      <c r="AP138">
        <f t="shared" si="53"/>
        <v>589.90384615384619</v>
      </c>
      <c r="AQ138">
        <f t="shared" si="54"/>
        <v>1122.1754807692307</v>
      </c>
      <c r="AR138">
        <f t="shared" si="55"/>
        <v>1226.4423076923076</v>
      </c>
      <c r="AS138">
        <f t="shared" si="56"/>
        <v>0.8311837202636857</v>
      </c>
      <c r="AT138">
        <f t="shared" si="57"/>
        <v>21.782745772427628</v>
      </c>
      <c r="AU138">
        <f t="shared" si="58"/>
        <v>6.0708907419478093</v>
      </c>
      <c r="AV138">
        <f t="shared" si="59"/>
        <v>20.985143062641882</v>
      </c>
      <c r="AW138">
        <f t="shared" si="60"/>
        <v>11.031444561821491</v>
      </c>
      <c r="AX138">
        <f t="shared" si="61"/>
        <v>22.934975613045335</v>
      </c>
      <c r="AY138">
        <f t="shared" si="62"/>
        <v>3961.1506849315069</v>
      </c>
      <c r="AZ138">
        <f t="shared" si="63"/>
        <v>324.63942307692304</v>
      </c>
      <c r="BA138">
        <f t="shared" si="64"/>
        <v>45.67307692307692</v>
      </c>
      <c r="BB138" t="s">
        <v>50</v>
      </c>
      <c r="BC138" t="s">
        <v>31</v>
      </c>
      <c r="BD138">
        <v>34.89</v>
      </c>
      <c r="BE138">
        <v>16.64</v>
      </c>
      <c r="BF138">
        <v>9.0399999999999991</v>
      </c>
      <c r="BG138">
        <v>7.6</v>
      </c>
      <c r="BH138">
        <v>0.28999999999999998</v>
      </c>
      <c r="BI138">
        <v>161396</v>
      </c>
      <c r="BJ138">
        <v>58758</v>
      </c>
      <c r="BK138">
        <v>18673</v>
      </c>
      <c r="BL138">
        <v>3183</v>
      </c>
      <c r="BM138">
        <v>592</v>
      </c>
      <c r="BN138">
        <v>5402</v>
      </c>
      <c r="BO138">
        <v>639</v>
      </c>
      <c r="BP138">
        <v>1000</v>
      </c>
      <c r="BQ138">
        <v>735</v>
      </c>
      <c r="BR138">
        <v>72291</v>
      </c>
      <c r="BS138" t="s">
        <v>21</v>
      </c>
      <c r="BT138" t="s">
        <v>341</v>
      </c>
      <c r="BU138">
        <v>0</v>
      </c>
      <c r="BV138">
        <v>0</v>
      </c>
      <c r="BW138">
        <v>0</v>
      </c>
      <c r="BX138">
        <v>0</v>
      </c>
      <c r="BY138">
        <v>38</v>
      </c>
      <c r="BZ138">
        <v>38.1</v>
      </c>
      <c r="CA138">
        <v>7</v>
      </c>
      <c r="CB138">
        <v>2</v>
      </c>
      <c r="CC138">
        <v>0</v>
      </c>
      <c r="CD138">
        <f t="shared" si="65"/>
        <v>2.624671916010568E-3</v>
      </c>
      <c r="CE138">
        <v>0.2857142857142857</v>
      </c>
    </row>
    <row r="139" spans="1:83" x14ac:dyDescent="0.4">
      <c r="A139" t="s">
        <v>1086</v>
      </c>
      <c r="B139" t="s">
        <v>19</v>
      </c>
      <c r="C139" t="s">
        <v>19</v>
      </c>
      <c r="D139" t="s">
        <v>19</v>
      </c>
      <c r="E139" t="s">
        <v>62</v>
      </c>
      <c r="F139" t="s">
        <v>22</v>
      </c>
      <c r="G139">
        <v>30</v>
      </c>
      <c r="H139">
        <v>48</v>
      </c>
      <c r="I139">
        <v>41.5</v>
      </c>
      <c r="J139">
        <f t="shared" si="48"/>
        <v>-11.5</v>
      </c>
      <c r="K139">
        <f t="shared" si="49"/>
        <v>6.5</v>
      </c>
      <c r="L139">
        <v>-18</v>
      </c>
      <c r="M139">
        <v>41.47</v>
      </c>
      <c r="N139" t="s">
        <v>513</v>
      </c>
      <c r="O139" t="s">
        <v>514</v>
      </c>
      <c r="P139" t="s">
        <v>13</v>
      </c>
      <c r="Q139">
        <v>1.6</v>
      </c>
      <c r="R139" t="s">
        <v>26</v>
      </c>
      <c r="S139" t="s">
        <v>27</v>
      </c>
      <c r="T139" t="s">
        <v>14</v>
      </c>
      <c r="U139">
        <v>20</v>
      </c>
      <c r="V139" t="s">
        <v>17</v>
      </c>
      <c r="W139" t="s">
        <v>52</v>
      </c>
      <c r="X139" t="s">
        <v>14</v>
      </c>
      <c r="Y139" t="s">
        <v>17</v>
      </c>
      <c r="Z139">
        <v>0</v>
      </c>
      <c r="AA139">
        <f t="shared" si="44"/>
        <v>3948.7894350696988</v>
      </c>
      <c r="AB139">
        <f t="shared" si="45"/>
        <v>56.786500366837856</v>
      </c>
      <c r="AC139">
        <f t="shared" si="46"/>
        <v>37.820983125458547</v>
      </c>
      <c r="AD139" t="s">
        <v>15</v>
      </c>
      <c r="AE139" t="s">
        <v>27</v>
      </c>
      <c r="AF139" t="s">
        <v>18</v>
      </c>
      <c r="AG139" t="s">
        <v>17</v>
      </c>
      <c r="AH139" t="s">
        <v>14</v>
      </c>
      <c r="AI139" t="s">
        <v>41</v>
      </c>
      <c r="AJ139" t="s">
        <v>14</v>
      </c>
      <c r="AK139" t="s">
        <v>17</v>
      </c>
      <c r="AL139" t="s">
        <v>14</v>
      </c>
      <c r="AM139">
        <f t="shared" si="47"/>
        <v>66.602067183462538</v>
      </c>
      <c r="AN139">
        <f t="shared" si="51"/>
        <v>4443.604651162791</v>
      </c>
      <c r="AO139">
        <f t="shared" si="52"/>
        <v>2883.8501291989664</v>
      </c>
      <c r="AP139">
        <f t="shared" si="53"/>
        <v>724.16020671834622</v>
      </c>
      <c r="AQ139">
        <f t="shared" si="54"/>
        <v>489.85788113695088</v>
      </c>
      <c r="AR139">
        <f t="shared" si="55"/>
        <v>835.59431524547801</v>
      </c>
      <c r="AS139">
        <f t="shared" si="56"/>
        <v>4.6955245781364638</v>
      </c>
      <c r="AT139">
        <f t="shared" si="57"/>
        <v>18.96551724137931</v>
      </c>
      <c r="AU139">
        <f t="shared" si="58"/>
        <v>6.2744413915420063</v>
      </c>
      <c r="AV139">
        <f t="shared" si="59"/>
        <v>11.023885327169378</v>
      </c>
      <c r="AW139">
        <f t="shared" si="60"/>
        <v>16.296683966447148</v>
      </c>
      <c r="AX139">
        <f t="shared" si="61"/>
        <v>18.804425254771978</v>
      </c>
      <c r="AY139">
        <f t="shared" si="62"/>
        <v>3279.2020373514429</v>
      </c>
      <c r="AZ139">
        <f t="shared" si="63"/>
        <v>278.81136950904391</v>
      </c>
      <c r="BA139">
        <f t="shared" si="64"/>
        <v>33.39793281653747</v>
      </c>
      <c r="BB139" t="s">
        <v>52</v>
      </c>
      <c r="BC139" t="s">
        <v>52</v>
      </c>
      <c r="BD139">
        <v>27.26</v>
      </c>
      <c r="BE139">
        <v>15.48</v>
      </c>
      <c r="BF139">
        <v>10.31</v>
      </c>
      <c r="BG139">
        <v>5.17</v>
      </c>
      <c r="BH139">
        <v>1.28</v>
      </c>
      <c r="BI139">
        <v>107644</v>
      </c>
      <c r="BJ139">
        <v>44642</v>
      </c>
      <c r="BK139">
        <v>7583</v>
      </c>
      <c r="BL139">
        <v>2037</v>
      </c>
      <c r="BM139">
        <v>377</v>
      </c>
      <c r="BN139">
        <v>4316</v>
      </c>
      <c r="BO139">
        <v>4480</v>
      </c>
      <c r="BP139">
        <v>1743</v>
      </c>
      <c r="BQ139">
        <v>3609</v>
      </c>
      <c r="BR139">
        <v>38629</v>
      </c>
      <c r="BS139" t="s">
        <v>21</v>
      </c>
      <c r="BT139" t="s">
        <v>412</v>
      </c>
      <c r="BU139">
        <v>0</v>
      </c>
      <c r="BV139">
        <v>0.4</v>
      </c>
      <c r="BW139">
        <v>0</v>
      </c>
      <c r="BX139">
        <v>0.3</v>
      </c>
      <c r="BY139">
        <v>32.1</v>
      </c>
      <c r="BZ139">
        <v>32.799999999999997</v>
      </c>
      <c r="CA139">
        <v>10</v>
      </c>
      <c r="CB139">
        <v>10</v>
      </c>
      <c r="CC139">
        <v>0</v>
      </c>
      <c r="CD139">
        <f t="shared" si="65"/>
        <v>2.1341463414634054E-2</v>
      </c>
      <c r="CE139">
        <v>1</v>
      </c>
    </row>
    <row r="140" spans="1:83" x14ac:dyDescent="0.4">
      <c r="A140" t="s">
        <v>1087</v>
      </c>
      <c r="B140" t="s">
        <v>62</v>
      </c>
      <c r="C140" t="s">
        <v>73</v>
      </c>
      <c r="D140" t="s">
        <v>82</v>
      </c>
      <c r="E140" t="s">
        <v>62</v>
      </c>
      <c r="F140" t="s">
        <v>12</v>
      </c>
      <c r="G140">
        <v>30</v>
      </c>
      <c r="H140">
        <v>45</v>
      </c>
      <c r="I140">
        <v>13</v>
      </c>
      <c r="J140">
        <f t="shared" si="48"/>
        <v>17</v>
      </c>
      <c r="K140">
        <f t="shared" si="49"/>
        <v>32</v>
      </c>
      <c r="L140">
        <v>-15</v>
      </c>
      <c r="M140">
        <v>12.83</v>
      </c>
      <c r="N140" t="s">
        <v>516</v>
      </c>
      <c r="O140" t="s">
        <v>517</v>
      </c>
      <c r="P140" t="s">
        <v>13</v>
      </c>
      <c r="Q140">
        <v>1.3</v>
      </c>
      <c r="R140" t="s">
        <v>13</v>
      </c>
      <c r="S140" t="s">
        <v>27</v>
      </c>
      <c r="T140" t="s">
        <v>14</v>
      </c>
      <c r="U140">
        <v>2.5</v>
      </c>
      <c r="V140" t="s">
        <v>14</v>
      </c>
      <c r="W140">
        <f t="shared" si="50"/>
        <v>1</v>
      </c>
      <c r="X140" t="s">
        <v>17</v>
      </c>
      <c r="Y140" t="s">
        <v>14</v>
      </c>
      <c r="Z140">
        <v>0</v>
      </c>
      <c r="AA140">
        <f t="shared" si="44"/>
        <v>3083.1376277632517</v>
      </c>
      <c r="AB140">
        <f t="shared" si="45"/>
        <v>51.647254575707159</v>
      </c>
      <c r="AC140">
        <f t="shared" si="46"/>
        <v>8.1388162586165915</v>
      </c>
      <c r="AD140" t="s">
        <v>27</v>
      </c>
      <c r="AE140" t="s">
        <v>27</v>
      </c>
      <c r="AF140" t="s">
        <v>24</v>
      </c>
      <c r="AG140" t="s">
        <v>14</v>
      </c>
      <c r="AH140" t="s">
        <v>14</v>
      </c>
      <c r="AI140" t="s">
        <v>18</v>
      </c>
      <c r="AJ140" t="s">
        <v>14</v>
      </c>
      <c r="AK140" t="s">
        <v>14</v>
      </c>
      <c r="AL140" t="s">
        <v>17</v>
      </c>
      <c r="AM140">
        <f t="shared" si="47"/>
        <v>15.758468335787922</v>
      </c>
      <c r="AN140">
        <f t="shared" si="51"/>
        <v>3752.4300441826213</v>
      </c>
      <c r="AO140">
        <f t="shared" si="52"/>
        <v>765.79528718703978</v>
      </c>
      <c r="AP140">
        <f t="shared" si="53"/>
        <v>540.62039764359349</v>
      </c>
      <c r="AQ140">
        <f t="shared" si="54"/>
        <v>2246.3825478645067</v>
      </c>
      <c r="AR140">
        <f t="shared" si="55"/>
        <v>2446.0143593519883</v>
      </c>
      <c r="AS140">
        <f t="shared" si="56"/>
        <v>2.4292845257903499</v>
      </c>
      <c r="AT140">
        <f t="shared" si="57"/>
        <v>43.508438317090565</v>
      </c>
      <c r="AU140">
        <f t="shared" si="58"/>
        <v>9.0819890890537298</v>
      </c>
      <c r="AV140">
        <f t="shared" si="59"/>
        <v>59.864741551866246</v>
      </c>
      <c r="AW140">
        <f t="shared" si="60"/>
        <v>14.407207896699243</v>
      </c>
      <c r="AX140">
        <f t="shared" si="61"/>
        <v>65.18480905844028</v>
      </c>
      <c r="AY140">
        <f t="shared" si="62"/>
        <v>2356.4447940222203</v>
      </c>
      <c r="AZ140">
        <f t="shared" si="63"/>
        <v>340.79528718703978</v>
      </c>
      <c r="BA140">
        <f t="shared" si="64"/>
        <v>84.241531664212076</v>
      </c>
      <c r="BB140" t="s">
        <v>16</v>
      </c>
      <c r="BC140" t="s">
        <v>16</v>
      </c>
      <c r="BD140">
        <v>210.35</v>
      </c>
      <c r="BE140">
        <v>108.64</v>
      </c>
      <c r="BF140">
        <v>17.12</v>
      </c>
      <c r="BG140">
        <v>91.52</v>
      </c>
      <c r="BH140">
        <v>5.1100000000000003</v>
      </c>
      <c r="BI140">
        <v>648538</v>
      </c>
      <c r="BJ140">
        <v>83196</v>
      </c>
      <c r="BK140">
        <v>244047</v>
      </c>
      <c r="BL140">
        <v>16186</v>
      </c>
      <c r="BM140">
        <v>2780</v>
      </c>
      <c r="BN140">
        <v>37024</v>
      </c>
      <c r="BO140">
        <v>2743</v>
      </c>
      <c r="BP140">
        <v>15687</v>
      </c>
      <c r="BQ140">
        <v>6001</v>
      </c>
      <c r="BR140">
        <v>239674</v>
      </c>
      <c r="BS140" t="s">
        <v>21</v>
      </c>
      <c r="BT140" t="s">
        <v>281</v>
      </c>
      <c r="BU140">
        <v>0</v>
      </c>
      <c r="BV140">
        <v>0.2</v>
      </c>
      <c r="BW140">
        <v>5.7</v>
      </c>
      <c r="BX140">
        <v>0.2</v>
      </c>
      <c r="BY140">
        <v>288.3</v>
      </c>
      <c r="BZ140">
        <v>311.5</v>
      </c>
      <c r="CA140">
        <v>1</v>
      </c>
      <c r="CB140">
        <v>1</v>
      </c>
      <c r="CC140">
        <v>0</v>
      </c>
      <c r="CD140">
        <f t="shared" si="65"/>
        <v>7.447833065810594E-2</v>
      </c>
      <c r="CE140">
        <v>1</v>
      </c>
    </row>
    <row r="141" spans="1:83" x14ac:dyDescent="0.4">
      <c r="A141" t="s">
        <v>1088</v>
      </c>
      <c r="B141" t="s">
        <v>49</v>
      </c>
      <c r="C141" t="s">
        <v>82</v>
      </c>
      <c r="D141" t="s">
        <v>82</v>
      </c>
      <c r="E141" t="s">
        <v>62</v>
      </c>
      <c r="F141" t="s">
        <v>22</v>
      </c>
      <c r="G141">
        <v>60</v>
      </c>
      <c r="H141">
        <v>40</v>
      </c>
      <c r="I141">
        <v>48.5</v>
      </c>
      <c r="J141">
        <f t="shared" si="48"/>
        <v>11.5</v>
      </c>
      <c r="K141">
        <f t="shared" si="49"/>
        <v>-8.5</v>
      </c>
      <c r="L141">
        <v>20</v>
      </c>
      <c r="M141">
        <v>48.73</v>
      </c>
      <c r="N141" t="s">
        <v>518</v>
      </c>
      <c r="O141" t="s">
        <v>519</v>
      </c>
      <c r="P141" t="s">
        <v>13</v>
      </c>
      <c r="Q141">
        <v>0.5</v>
      </c>
      <c r="R141" t="s">
        <v>26</v>
      </c>
      <c r="S141" t="s">
        <v>15</v>
      </c>
      <c r="T141" t="s">
        <v>14</v>
      </c>
      <c r="U141">
        <v>0</v>
      </c>
      <c r="V141" t="s">
        <v>14</v>
      </c>
      <c r="W141" t="s">
        <v>52</v>
      </c>
      <c r="X141" t="s">
        <v>14</v>
      </c>
      <c r="Y141" t="s">
        <v>17</v>
      </c>
      <c r="Z141">
        <v>0</v>
      </c>
      <c r="AA141">
        <f t="shared" si="44"/>
        <v>2926.582278481013</v>
      </c>
      <c r="AB141">
        <f t="shared" si="45"/>
        <v>55.926352128883785</v>
      </c>
      <c r="AC141">
        <f t="shared" si="46"/>
        <v>31.185270425776757</v>
      </c>
      <c r="AD141" t="s">
        <v>15</v>
      </c>
      <c r="AE141" t="s">
        <v>15</v>
      </c>
      <c r="AF141" t="s">
        <v>24</v>
      </c>
      <c r="AG141" t="s">
        <v>14</v>
      </c>
      <c r="AH141" t="s">
        <v>14</v>
      </c>
      <c r="AI141" t="s">
        <v>18</v>
      </c>
      <c r="AJ141" t="s">
        <v>14</v>
      </c>
      <c r="AK141" t="s">
        <v>14</v>
      </c>
      <c r="AL141" t="s">
        <v>14</v>
      </c>
      <c r="AM141">
        <f t="shared" si="47"/>
        <v>55.761316872427983</v>
      </c>
      <c r="AN141">
        <f t="shared" si="51"/>
        <v>4212.5514403292182</v>
      </c>
      <c r="AO141">
        <f t="shared" si="52"/>
        <v>2550.2057613168722</v>
      </c>
      <c r="AP141">
        <f t="shared" si="53"/>
        <v>378.18930041152259</v>
      </c>
      <c r="AQ141">
        <f t="shared" si="54"/>
        <v>954.93827160493822</v>
      </c>
      <c r="AR141">
        <f t="shared" si="55"/>
        <v>1284.156378600823</v>
      </c>
      <c r="AS141">
        <f t="shared" si="56"/>
        <v>1.9562715765247412</v>
      </c>
      <c r="AT141">
        <f t="shared" si="57"/>
        <v>24.741081703107021</v>
      </c>
      <c r="AU141">
        <f t="shared" si="58"/>
        <v>3.4484442924827823</v>
      </c>
      <c r="AV141">
        <f t="shared" si="59"/>
        <v>22.668880965173642</v>
      </c>
      <c r="AW141">
        <f t="shared" si="60"/>
        <v>8.9776779172568748</v>
      </c>
      <c r="AX141">
        <f t="shared" si="61"/>
        <v>30.484052166267766</v>
      </c>
      <c r="AY141">
        <f t="shared" si="62"/>
        <v>1291.9060052219324</v>
      </c>
      <c r="AZ141">
        <f t="shared" si="63"/>
        <v>145.26748971193416</v>
      </c>
      <c r="BA141">
        <f t="shared" si="64"/>
        <v>44.238683127572017</v>
      </c>
      <c r="BB141" t="s">
        <v>52</v>
      </c>
      <c r="BC141" t="s">
        <v>52</v>
      </c>
      <c r="BD141">
        <v>8.69</v>
      </c>
      <c r="BE141">
        <v>4.8600000000000003</v>
      </c>
      <c r="BF141">
        <v>2.71</v>
      </c>
      <c r="BG141">
        <v>2.15</v>
      </c>
      <c r="BH141">
        <v>0.17</v>
      </c>
      <c r="BI141">
        <v>25432</v>
      </c>
      <c r="BJ141">
        <v>12394</v>
      </c>
      <c r="BK141">
        <v>4641</v>
      </c>
      <c r="BL141">
        <v>940</v>
      </c>
      <c r="BM141">
        <v>63</v>
      </c>
      <c r="BN141">
        <v>706</v>
      </c>
      <c r="BO141">
        <v>129</v>
      </c>
      <c r="BP141">
        <v>1194</v>
      </c>
      <c r="BQ141">
        <v>406</v>
      </c>
      <c r="BR141">
        <v>4948</v>
      </c>
      <c r="BS141" t="s">
        <v>21</v>
      </c>
      <c r="BT141" t="s">
        <v>356</v>
      </c>
      <c r="BU141">
        <v>0.2</v>
      </c>
      <c r="BV141">
        <v>0</v>
      </c>
      <c r="BW141">
        <v>0</v>
      </c>
      <c r="BX141">
        <v>0</v>
      </c>
      <c r="BY141">
        <v>17.600000000000001</v>
      </c>
      <c r="BZ141">
        <v>17.7</v>
      </c>
      <c r="CA141">
        <v>10</v>
      </c>
      <c r="CB141">
        <v>10</v>
      </c>
      <c r="CC141">
        <v>0</v>
      </c>
      <c r="CD141">
        <f t="shared" si="65"/>
        <v>5.6497175141241307E-3</v>
      </c>
      <c r="CE141">
        <v>1</v>
      </c>
    </row>
    <row r="142" spans="1:83" x14ac:dyDescent="0.4">
      <c r="A142" t="s">
        <v>1089</v>
      </c>
      <c r="B142" t="s">
        <v>19</v>
      </c>
      <c r="C142" t="s">
        <v>19</v>
      </c>
      <c r="D142" t="s">
        <v>19</v>
      </c>
      <c r="E142" t="s">
        <v>62</v>
      </c>
      <c r="F142" t="s">
        <v>22</v>
      </c>
      <c r="G142">
        <v>70</v>
      </c>
      <c r="H142">
        <v>72</v>
      </c>
      <c r="I142">
        <v>58</v>
      </c>
      <c r="J142">
        <f t="shared" si="48"/>
        <v>12</v>
      </c>
      <c r="K142">
        <f t="shared" si="49"/>
        <v>14</v>
      </c>
      <c r="L142">
        <v>-2</v>
      </c>
      <c r="M142">
        <v>58.19</v>
      </c>
      <c r="N142" t="s">
        <v>521</v>
      </c>
      <c r="O142" t="s">
        <v>522</v>
      </c>
      <c r="P142" t="s">
        <v>13</v>
      </c>
      <c r="Q142">
        <v>1.2</v>
      </c>
      <c r="R142" t="s">
        <v>13</v>
      </c>
      <c r="S142" t="s">
        <v>15</v>
      </c>
      <c r="T142" t="s">
        <v>14</v>
      </c>
      <c r="U142">
        <v>15</v>
      </c>
      <c r="V142" t="s">
        <v>17</v>
      </c>
      <c r="W142" t="s">
        <v>52</v>
      </c>
      <c r="X142" t="s">
        <v>14</v>
      </c>
      <c r="Y142" t="s">
        <v>17</v>
      </c>
      <c r="Z142">
        <v>0</v>
      </c>
      <c r="AA142">
        <f t="shared" si="44"/>
        <v>1704.5346062052506</v>
      </c>
      <c r="AB142">
        <f t="shared" si="45"/>
        <v>25.139220365950674</v>
      </c>
      <c r="AC142">
        <f t="shared" si="46"/>
        <v>13.126491646778042</v>
      </c>
      <c r="AD142" t="s">
        <v>15</v>
      </c>
      <c r="AE142" t="s">
        <v>36</v>
      </c>
      <c r="AF142" t="s">
        <v>18</v>
      </c>
      <c r="AG142" t="s">
        <v>14</v>
      </c>
      <c r="AH142" t="s">
        <v>14</v>
      </c>
      <c r="AI142" t="s">
        <v>18</v>
      </c>
      <c r="AJ142" t="s">
        <v>14</v>
      </c>
      <c r="AK142" t="s">
        <v>14</v>
      </c>
      <c r="AL142" t="s">
        <v>14</v>
      </c>
      <c r="AM142">
        <f t="shared" si="47"/>
        <v>52.215189873417721</v>
      </c>
      <c r="AN142">
        <f t="shared" si="51"/>
        <v>5712.0253164556962</v>
      </c>
      <c r="AO142">
        <f t="shared" si="52"/>
        <v>3945.253164556962</v>
      </c>
      <c r="AP142">
        <f t="shared" si="53"/>
        <v>676.2658227848101</v>
      </c>
      <c r="AQ142">
        <f t="shared" si="54"/>
        <v>893.35443037974676</v>
      </c>
      <c r="AR142">
        <f t="shared" si="55"/>
        <v>1090.506329113924</v>
      </c>
      <c r="AS142">
        <f t="shared" si="56"/>
        <v>66.030230708035006</v>
      </c>
      <c r="AT142">
        <f t="shared" si="57"/>
        <v>11.933174224343675</v>
      </c>
      <c r="AU142">
        <f t="shared" si="58"/>
        <v>3.8836565096952906</v>
      </c>
      <c r="AV142">
        <f t="shared" si="59"/>
        <v>15.639889196675901</v>
      </c>
      <c r="AW142">
        <f t="shared" si="60"/>
        <v>11.839335180055402</v>
      </c>
      <c r="AX142">
        <f t="shared" si="61"/>
        <v>19.091412742382271</v>
      </c>
      <c r="AY142">
        <f t="shared" si="62"/>
        <v>357.70456960680127</v>
      </c>
      <c r="AZ142">
        <f t="shared" si="63"/>
        <v>221.83544303797467</v>
      </c>
      <c r="BA142">
        <f t="shared" si="64"/>
        <v>47.468354430379748</v>
      </c>
      <c r="BB142" t="s">
        <v>52</v>
      </c>
      <c r="BC142" t="s">
        <v>52</v>
      </c>
      <c r="BD142">
        <v>12.57</v>
      </c>
      <c r="BE142">
        <v>3.16</v>
      </c>
      <c r="BF142">
        <v>1.65</v>
      </c>
      <c r="BG142">
        <v>1.5</v>
      </c>
      <c r="BH142">
        <v>8.3000000000000007</v>
      </c>
      <c r="BI142">
        <v>21426</v>
      </c>
      <c r="BJ142">
        <v>12467</v>
      </c>
      <c r="BK142">
        <v>2823</v>
      </c>
      <c r="BL142">
        <v>391</v>
      </c>
      <c r="BM142">
        <v>74</v>
      </c>
      <c r="BN142">
        <v>701</v>
      </c>
      <c r="BO142">
        <v>971</v>
      </c>
      <c r="BP142">
        <v>214</v>
      </c>
      <c r="BQ142">
        <v>409</v>
      </c>
      <c r="BR142">
        <v>3366</v>
      </c>
      <c r="BS142" t="s">
        <v>21</v>
      </c>
      <c r="BT142" t="s">
        <v>520</v>
      </c>
      <c r="BU142">
        <v>0</v>
      </c>
      <c r="BV142">
        <v>0.6</v>
      </c>
      <c r="BW142">
        <v>0</v>
      </c>
      <c r="BX142">
        <v>0.3</v>
      </c>
      <c r="BY142">
        <v>14.3</v>
      </c>
      <c r="BZ142">
        <v>14.7</v>
      </c>
      <c r="CA142">
        <v>10</v>
      </c>
      <c r="CB142">
        <v>10</v>
      </c>
      <c r="CC142">
        <v>0</v>
      </c>
      <c r="CD142">
        <f t="shared" si="65"/>
        <v>2.7210884353741416E-2</v>
      </c>
      <c r="CE142">
        <v>1</v>
      </c>
    </row>
    <row r="143" spans="1:83" x14ac:dyDescent="0.4">
      <c r="A143" t="s">
        <v>1090</v>
      </c>
      <c r="B143" t="s">
        <v>19</v>
      </c>
      <c r="C143" t="s">
        <v>19</v>
      </c>
      <c r="D143" t="s">
        <v>19</v>
      </c>
      <c r="E143" t="s">
        <v>62</v>
      </c>
      <c r="F143" t="s">
        <v>22</v>
      </c>
      <c r="G143">
        <v>80</v>
      </c>
      <c r="H143">
        <v>89</v>
      </c>
      <c r="I143">
        <v>74</v>
      </c>
      <c r="J143">
        <f t="shared" si="48"/>
        <v>6</v>
      </c>
      <c r="K143">
        <f t="shared" si="49"/>
        <v>15</v>
      </c>
      <c r="L143">
        <v>-9</v>
      </c>
      <c r="M143">
        <v>73.78</v>
      </c>
      <c r="N143" t="s">
        <v>523</v>
      </c>
      <c r="O143" t="s">
        <v>524</v>
      </c>
      <c r="P143" t="s">
        <v>13</v>
      </c>
      <c r="Q143">
        <v>1.4</v>
      </c>
      <c r="R143" t="s">
        <v>26</v>
      </c>
      <c r="S143" t="s">
        <v>15</v>
      </c>
      <c r="T143" t="s">
        <v>17</v>
      </c>
      <c r="U143">
        <v>5</v>
      </c>
      <c r="V143" t="s">
        <v>14</v>
      </c>
      <c r="W143">
        <f t="shared" si="50"/>
        <v>1</v>
      </c>
      <c r="X143" t="s">
        <v>14</v>
      </c>
      <c r="Y143" t="s">
        <v>14</v>
      </c>
      <c r="Z143">
        <v>0</v>
      </c>
      <c r="AA143">
        <f t="shared" si="44"/>
        <v>6055.570652173913</v>
      </c>
      <c r="AB143">
        <f t="shared" si="45"/>
        <v>58.288043478260867</v>
      </c>
      <c r="AC143">
        <f t="shared" si="46"/>
        <v>49.45652173913043</v>
      </c>
      <c r="AD143" t="s">
        <v>27</v>
      </c>
      <c r="AE143" t="s">
        <v>15</v>
      </c>
      <c r="AF143" t="s">
        <v>18</v>
      </c>
      <c r="AG143" t="s">
        <v>14</v>
      </c>
      <c r="AH143" t="s">
        <v>14</v>
      </c>
      <c r="AI143" t="s">
        <v>18</v>
      </c>
      <c r="AJ143" t="s">
        <v>14</v>
      </c>
      <c r="AK143" t="s">
        <v>14</v>
      </c>
      <c r="AL143" t="s">
        <v>14</v>
      </c>
      <c r="AM143">
        <f t="shared" si="47"/>
        <v>84.848484848484844</v>
      </c>
      <c r="AN143">
        <f t="shared" si="51"/>
        <v>8463.8694638694633</v>
      </c>
      <c r="AO143">
        <f t="shared" si="52"/>
        <v>7665.5011655011658</v>
      </c>
      <c r="AP143">
        <f t="shared" si="53"/>
        <v>338.92773892773891</v>
      </c>
      <c r="AQ143">
        <f t="shared" si="54"/>
        <v>236.5967365967366</v>
      </c>
      <c r="AR143">
        <f t="shared" si="55"/>
        <v>459.44055944055941</v>
      </c>
      <c r="AS143">
        <f t="shared" si="56"/>
        <v>5.4347826086956523</v>
      </c>
      <c r="AT143">
        <f t="shared" si="57"/>
        <v>8.695652173913043</v>
      </c>
      <c r="AU143">
        <f t="shared" si="58"/>
        <v>2.2390526025888184</v>
      </c>
      <c r="AV143">
        <f t="shared" si="59"/>
        <v>2.795373175433765</v>
      </c>
      <c r="AW143">
        <f t="shared" si="60"/>
        <v>4.0044064995868904</v>
      </c>
      <c r="AX143">
        <f t="shared" si="61"/>
        <v>5.4282566786009365</v>
      </c>
      <c r="AY143">
        <f t="shared" si="62"/>
        <v>2688.9250814332245</v>
      </c>
      <c r="AZ143">
        <f t="shared" si="63"/>
        <v>189.51048951048952</v>
      </c>
      <c r="BA143">
        <f t="shared" si="64"/>
        <v>14.918414918414918</v>
      </c>
      <c r="BB143" t="s">
        <v>30</v>
      </c>
      <c r="BC143" t="s">
        <v>30</v>
      </c>
      <c r="BD143">
        <v>7.36</v>
      </c>
      <c r="BE143">
        <v>4.29</v>
      </c>
      <c r="BF143">
        <v>3.64</v>
      </c>
      <c r="BG143">
        <v>0.64</v>
      </c>
      <c r="BH143">
        <v>0.4</v>
      </c>
      <c r="BI143">
        <v>44569</v>
      </c>
      <c r="BJ143">
        <v>32885</v>
      </c>
      <c r="BK143">
        <v>1015</v>
      </c>
      <c r="BL143">
        <v>480</v>
      </c>
      <c r="BM143">
        <v>43</v>
      </c>
      <c r="BN143">
        <v>813</v>
      </c>
      <c r="BO143">
        <v>118</v>
      </c>
      <c r="BP143">
        <v>293</v>
      </c>
      <c r="BQ143">
        <v>663</v>
      </c>
      <c r="BR143">
        <v>8255</v>
      </c>
      <c r="BS143" t="s">
        <v>21</v>
      </c>
      <c r="BT143" t="s">
        <v>247</v>
      </c>
      <c r="BU143">
        <v>0</v>
      </c>
      <c r="BV143">
        <v>0.1</v>
      </c>
      <c r="BW143">
        <v>0.1</v>
      </c>
      <c r="BX143">
        <v>0.1</v>
      </c>
      <c r="BY143">
        <v>8.8000000000000007</v>
      </c>
      <c r="BZ143">
        <v>8.9</v>
      </c>
      <c r="CA143">
        <v>3</v>
      </c>
      <c r="CB143">
        <v>3</v>
      </c>
      <c r="CC143">
        <v>0</v>
      </c>
      <c r="CD143">
        <f t="shared" si="65"/>
        <v>1.1235955056179692E-2</v>
      </c>
      <c r="CE143">
        <v>1</v>
      </c>
    </row>
    <row r="144" spans="1:83" x14ac:dyDescent="0.4">
      <c r="A144" t="s">
        <v>1091</v>
      </c>
      <c r="B144" t="s">
        <v>62</v>
      </c>
      <c r="C144" t="s">
        <v>73</v>
      </c>
      <c r="D144" t="s">
        <v>82</v>
      </c>
      <c r="E144" t="s">
        <v>62</v>
      </c>
      <c r="F144" t="s">
        <v>12</v>
      </c>
      <c r="G144">
        <v>25</v>
      </c>
      <c r="H144">
        <v>5</v>
      </c>
      <c r="I144">
        <v>11</v>
      </c>
      <c r="J144">
        <f t="shared" si="48"/>
        <v>14</v>
      </c>
      <c r="K144">
        <f t="shared" si="49"/>
        <v>-6</v>
      </c>
      <c r="L144">
        <v>20</v>
      </c>
      <c r="M144">
        <v>10.78</v>
      </c>
      <c r="N144" t="s">
        <v>525</v>
      </c>
      <c r="O144" t="s">
        <v>526</v>
      </c>
      <c r="P144" t="s">
        <v>13</v>
      </c>
      <c r="Q144">
        <v>5.9</v>
      </c>
      <c r="R144" t="s">
        <v>13</v>
      </c>
      <c r="S144" t="s">
        <v>15</v>
      </c>
      <c r="T144" t="s">
        <v>14</v>
      </c>
      <c r="U144">
        <v>2.5</v>
      </c>
      <c r="V144" t="s">
        <v>14</v>
      </c>
      <c r="W144">
        <f t="shared" si="50"/>
        <v>1</v>
      </c>
      <c r="X144" t="s">
        <v>17</v>
      </c>
      <c r="Y144" t="s">
        <v>14</v>
      </c>
      <c r="Z144">
        <v>0</v>
      </c>
      <c r="AA144">
        <f t="shared" si="44"/>
        <v>3103.2285581347255</v>
      </c>
      <c r="AB144">
        <f t="shared" si="45"/>
        <v>52.639197642558031</v>
      </c>
      <c r="AC144">
        <f t="shared" si="46"/>
        <v>7.2196660290544381</v>
      </c>
      <c r="AD144" t="s">
        <v>27</v>
      </c>
      <c r="AE144" t="s">
        <v>15</v>
      </c>
      <c r="AF144" t="s">
        <v>24</v>
      </c>
      <c r="AG144" t="s">
        <v>14</v>
      </c>
      <c r="AH144" t="s">
        <v>17</v>
      </c>
      <c r="AI144" t="s">
        <v>18</v>
      </c>
      <c r="AJ144" t="s">
        <v>14</v>
      </c>
      <c r="AK144" t="s">
        <v>14</v>
      </c>
      <c r="AL144" t="s">
        <v>17</v>
      </c>
      <c r="AM144">
        <f t="shared" si="47"/>
        <v>13.715380082498529</v>
      </c>
      <c r="AN144">
        <f t="shared" si="51"/>
        <v>3648.2518169318409</v>
      </c>
      <c r="AO144">
        <f t="shared" si="52"/>
        <v>635.75918287173442</v>
      </c>
      <c r="AP144">
        <f t="shared" si="53"/>
        <v>714.87428795914366</v>
      </c>
      <c r="AQ144">
        <f t="shared" si="54"/>
        <v>2171.2826556668633</v>
      </c>
      <c r="AR144">
        <f t="shared" si="55"/>
        <v>2297.6183461009628</v>
      </c>
      <c r="AS144">
        <f t="shared" si="56"/>
        <v>1.1451170966241018</v>
      </c>
      <c r="AT144">
        <f t="shared" si="57"/>
        <v>45.419531613503594</v>
      </c>
      <c r="AU144">
        <f t="shared" si="58"/>
        <v>13.449450150081434</v>
      </c>
      <c r="AV144">
        <f t="shared" si="59"/>
        <v>59.515701344675811</v>
      </c>
      <c r="AW144">
        <f t="shared" si="60"/>
        <v>19.594982030608538</v>
      </c>
      <c r="AX144">
        <f t="shared" si="61"/>
        <v>62.978611713081989</v>
      </c>
      <c r="AY144">
        <f t="shared" si="62"/>
        <v>2490.9889750027287</v>
      </c>
      <c r="AZ144">
        <f t="shared" si="63"/>
        <v>490.66980946768808</v>
      </c>
      <c r="BA144">
        <f t="shared" si="64"/>
        <v>86.284619917501473</v>
      </c>
      <c r="BB144" t="s">
        <v>16</v>
      </c>
      <c r="BC144" t="s">
        <v>16</v>
      </c>
      <c r="BD144">
        <v>386.86</v>
      </c>
      <c r="BE144">
        <v>203.64</v>
      </c>
      <c r="BF144">
        <v>27.93</v>
      </c>
      <c r="BG144">
        <v>175.71</v>
      </c>
      <c r="BH144">
        <v>4.43</v>
      </c>
      <c r="BI144">
        <v>1200515</v>
      </c>
      <c r="BJ144">
        <v>129466</v>
      </c>
      <c r="BK144">
        <v>442160</v>
      </c>
      <c r="BL144">
        <v>30887</v>
      </c>
      <c r="BM144">
        <v>10797</v>
      </c>
      <c r="BN144">
        <v>99920</v>
      </c>
      <c r="BO144">
        <v>3973</v>
      </c>
      <c r="BP144">
        <v>20568</v>
      </c>
      <c r="BQ144">
        <v>5159</v>
      </c>
      <c r="BR144">
        <v>456399</v>
      </c>
      <c r="BS144" t="s">
        <v>21</v>
      </c>
      <c r="BT144" t="s">
        <v>232</v>
      </c>
      <c r="BU144">
        <v>0</v>
      </c>
      <c r="BV144">
        <v>0.3</v>
      </c>
      <c r="BW144">
        <v>0.2</v>
      </c>
      <c r="BX144">
        <v>0</v>
      </c>
      <c r="BY144">
        <v>409.3</v>
      </c>
      <c r="BZ144">
        <v>437.9</v>
      </c>
      <c r="CA144">
        <v>1</v>
      </c>
      <c r="CB144">
        <v>1</v>
      </c>
      <c r="CC144">
        <v>0</v>
      </c>
      <c r="CD144">
        <f t="shared" si="65"/>
        <v>6.5311715003425364E-2</v>
      </c>
      <c r="CE144">
        <v>1</v>
      </c>
    </row>
    <row r="145" spans="1:83" x14ac:dyDescent="0.4">
      <c r="A145" t="s">
        <v>1092</v>
      </c>
      <c r="B145" t="s">
        <v>34</v>
      </c>
      <c r="C145" t="s">
        <v>34</v>
      </c>
      <c r="D145" t="s">
        <v>34</v>
      </c>
      <c r="E145" t="s">
        <v>49</v>
      </c>
      <c r="F145" t="s">
        <v>32</v>
      </c>
      <c r="G145">
        <v>60</v>
      </c>
      <c r="H145">
        <v>78</v>
      </c>
      <c r="I145">
        <v>91.5</v>
      </c>
      <c r="J145">
        <f t="shared" si="48"/>
        <v>-31.5</v>
      </c>
      <c r="K145">
        <f t="shared" si="49"/>
        <v>-13.5</v>
      </c>
      <c r="L145">
        <v>-18</v>
      </c>
      <c r="M145">
        <v>91.31</v>
      </c>
      <c r="N145" t="s">
        <v>528</v>
      </c>
      <c r="O145" t="s">
        <v>529</v>
      </c>
      <c r="P145" t="s">
        <v>13</v>
      </c>
      <c r="Q145">
        <v>0</v>
      </c>
      <c r="R145" t="s">
        <v>13</v>
      </c>
      <c r="S145" t="s">
        <v>15</v>
      </c>
      <c r="T145" t="s">
        <v>14</v>
      </c>
      <c r="U145">
        <v>0</v>
      </c>
      <c r="V145" t="s">
        <v>14</v>
      </c>
      <c r="W145">
        <v>0</v>
      </c>
      <c r="X145" t="s">
        <v>14</v>
      </c>
      <c r="Y145" t="s">
        <v>14</v>
      </c>
      <c r="Z145">
        <v>0</v>
      </c>
      <c r="AA145">
        <f t="shared" si="44"/>
        <v>1900.6737247353224</v>
      </c>
      <c r="AB145">
        <f t="shared" si="45"/>
        <v>26.852743022136668</v>
      </c>
      <c r="AC145">
        <f t="shared" si="46"/>
        <v>25.98652550529355</v>
      </c>
      <c r="AD145" t="s">
        <v>37</v>
      </c>
      <c r="AE145" t="s">
        <v>15</v>
      </c>
      <c r="AF145" t="s">
        <v>18</v>
      </c>
      <c r="AG145" t="s">
        <v>14</v>
      </c>
      <c r="AH145" t="s">
        <v>14</v>
      </c>
      <c r="AI145" t="s">
        <v>14</v>
      </c>
      <c r="AJ145" t="s">
        <v>14</v>
      </c>
      <c r="AK145" t="s">
        <v>14</v>
      </c>
      <c r="AL145" t="s">
        <v>14</v>
      </c>
      <c r="AM145">
        <f t="shared" si="47"/>
        <v>96.774193548387089</v>
      </c>
      <c r="AN145">
        <f t="shared" si="51"/>
        <v>7013.9784946236559</v>
      </c>
      <c r="AO145">
        <f t="shared" si="52"/>
        <v>6462.7240143369172</v>
      </c>
      <c r="AP145">
        <f t="shared" si="53"/>
        <v>437.63440860215053</v>
      </c>
      <c r="AQ145">
        <f t="shared" si="54"/>
        <v>43.727598566308245</v>
      </c>
      <c r="AR145">
        <f t="shared" si="55"/>
        <v>113.62007168458781</v>
      </c>
      <c r="AS145">
        <f t="shared" si="56"/>
        <v>72.184793070259857</v>
      </c>
      <c r="AT145">
        <f t="shared" si="57"/>
        <v>0.96246390760346479</v>
      </c>
      <c r="AU145">
        <f t="shared" si="58"/>
        <v>4.6808728090346978</v>
      </c>
      <c r="AV145">
        <f t="shared" si="59"/>
        <v>0.62343502478409729</v>
      </c>
      <c r="AW145">
        <f t="shared" si="60"/>
        <v>6.2394603709949408</v>
      </c>
      <c r="AX145">
        <f t="shared" si="61"/>
        <v>1.6199090398078593</v>
      </c>
      <c r="AY145">
        <f t="shared" si="62"/>
        <v>23.552631578947366</v>
      </c>
      <c r="AZ145">
        <f t="shared" si="63"/>
        <v>328.31541218637994</v>
      </c>
      <c r="BA145">
        <f t="shared" si="64"/>
        <v>3.5842293906810037</v>
      </c>
      <c r="BB145" t="s">
        <v>33</v>
      </c>
      <c r="BC145" t="s">
        <v>33</v>
      </c>
      <c r="BD145">
        <v>10.39</v>
      </c>
      <c r="BE145">
        <v>2.79</v>
      </c>
      <c r="BF145">
        <v>2.7</v>
      </c>
      <c r="BG145">
        <v>0.1</v>
      </c>
      <c r="BH145">
        <v>7.5</v>
      </c>
      <c r="BI145">
        <v>19748</v>
      </c>
      <c r="BJ145">
        <v>18031</v>
      </c>
      <c r="BK145">
        <v>122</v>
      </c>
      <c r="BL145">
        <v>217</v>
      </c>
      <c r="BM145">
        <v>24</v>
      </c>
      <c r="BN145">
        <v>916</v>
      </c>
      <c r="BO145">
        <v>64</v>
      </c>
      <c r="BP145">
        <v>29</v>
      </c>
      <c r="BQ145">
        <v>166</v>
      </c>
      <c r="BR145">
        <v>179</v>
      </c>
      <c r="BS145" t="s">
        <v>21</v>
      </c>
      <c r="BT145" t="s">
        <v>527</v>
      </c>
      <c r="BU145">
        <v>0</v>
      </c>
      <c r="BV145">
        <v>0</v>
      </c>
      <c r="BW145">
        <v>0</v>
      </c>
      <c r="BX145">
        <v>0.1</v>
      </c>
      <c r="BY145">
        <v>23.4</v>
      </c>
      <c r="BZ145">
        <v>23.4</v>
      </c>
      <c r="CA145">
        <v>0</v>
      </c>
      <c r="CB145">
        <v>0</v>
      </c>
      <c r="CC145">
        <v>0</v>
      </c>
      <c r="CD145">
        <f t="shared" si="65"/>
        <v>0</v>
      </c>
      <c r="CE145">
        <v>0</v>
      </c>
    </row>
    <row r="146" spans="1:83" x14ac:dyDescent="0.4">
      <c r="A146" t="s">
        <v>1093</v>
      </c>
      <c r="B146" t="s">
        <v>49</v>
      </c>
      <c r="C146" t="s">
        <v>73</v>
      </c>
      <c r="D146" t="s">
        <v>82</v>
      </c>
      <c r="E146" t="s">
        <v>49</v>
      </c>
      <c r="F146" t="s">
        <v>22</v>
      </c>
      <c r="G146">
        <v>30</v>
      </c>
      <c r="H146">
        <v>20</v>
      </c>
      <c r="I146">
        <v>53</v>
      </c>
      <c r="J146">
        <f t="shared" si="48"/>
        <v>-23</v>
      </c>
      <c r="K146">
        <f t="shared" si="49"/>
        <v>-33</v>
      </c>
      <c r="L146">
        <v>10</v>
      </c>
      <c r="M146">
        <v>52.9</v>
      </c>
      <c r="N146" t="s">
        <v>531</v>
      </c>
      <c r="O146" t="s">
        <v>532</v>
      </c>
      <c r="P146" t="s">
        <v>13</v>
      </c>
      <c r="Q146">
        <v>0.9</v>
      </c>
      <c r="R146" t="s">
        <v>13</v>
      </c>
      <c r="S146" t="s">
        <v>15</v>
      </c>
      <c r="T146" t="s">
        <v>14</v>
      </c>
      <c r="U146">
        <v>5</v>
      </c>
      <c r="V146" t="s">
        <v>14</v>
      </c>
      <c r="W146">
        <f t="shared" si="50"/>
        <v>0.83333333333333337</v>
      </c>
      <c r="X146" t="s">
        <v>14</v>
      </c>
      <c r="Y146" t="s">
        <v>14</v>
      </c>
      <c r="Z146">
        <v>0</v>
      </c>
      <c r="AA146">
        <f t="shared" si="44"/>
        <v>6214.1962421711896</v>
      </c>
      <c r="AB146">
        <f t="shared" si="45"/>
        <v>92.797494780793315</v>
      </c>
      <c r="AC146">
        <f t="shared" si="46"/>
        <v>59.551148225469731</v>
      </c>
      <c r="AD146" t="s">
        <v>15</v>
      </c>
      <c r="AE146" t="s">
        <v>15</v>
      </c>
      <c r="AF146" t="s">
        <v>18</v>
      </c>
      <c r="AG146" t="s">
        <v>17</v>
      </c>
      <c r="AH146" t="s">
        <v>14</v>
      </c>
      <c r="AI146" t="s">
        <v>18</v>
      </c>
      <c r="AJ146" t="s">
        <v>14</v>
      </c>
      <c r="AK146" t="s">
        <v>14</v>
      </c>
      <c r="AL146" t="s">
        <v>14</v>
      </c>
      <c r="AM146">
        <f t="shared" si="47"/>
        <v>64.173228346456682</v>
      </c>
      <c r="AN146">
        <f t="shared" si="51"/>
        <v>6376.5466816647913</v>
      </c>
      <c r="AO146">
        <f t="shared" si="52"/>
        <v>3542.1822272215973</v>
      </c>
      <c r="AP146">
        <f t="shared" si="53"/>
        <v>1922.4409448818897</v>
      </c>
      <c r="AQ146">
        <f t="shared" si="54"/>
        <v>788.2452193475815</v>
      </c>
      <c r="AR146">
        <f t="shared" si="55"/>
        <v>911.92350956130474</v>
      </c>
      <c r="AS146">
        <f t="shared" si="56"/>
        <v>1.0960334029227556</v>
      </c>
      <c r="AT146">
        <f t="shared" si="57"/>
        <v>33.194154488517746</v>
      </c>
      <c r="AU146">
        <f t="shared" si="58"/>
        <v>10.204189636163175</v>
      </c>
      <c r="AV146">
        <f t="shared" si="59"/>
        <v>12.361631753031974</v>
      </c>
      <c r="AW146">
        <f t="shared" si="60"/>
        <v>30.148621830209482</v>
      </c>
      <c r="AX146">
        <f t="shared" si="61"/>
        <v>14.301212789415656</v>
      </c>
      <c r="AY146">
        <f t="shared" si="62"/>
        <v>4024.6376811594232</v>
      </c>
      <c r="AZ146">
        <f t="shared" si="63"/>
        <v>650.67491563554552</v>
      </c>
      <c r="BA146">
        <f t="shared" si="64"/>
        <v>35.770528683914506</v>
      </c>
      <c r="BB146" t="s">
        <v>40</v>
      </c>
      <c r="BC146" t="s">
        <v>29</v>
      </c>
      <c r="BD146">
        <v>19.16</v>
      </c>
      <c r="BE146">
        <v>17.78</v>
      </c>
      <c r="BF146">
        <v>11.41</v>
      </c>
      <c r="BG146">
        <v>6.36</v>
      </c>
      <c r="BH146">
        <v>0.21</v>
      </c>
      <c r="BI146">
        <v>119064</v>
      </c>
      <c r="BJ146">
        <v>62980</v>
      </c>
      <c r="BK146">
        <v>14015</v>
      </c>
      <c r="BL146">
        <v>1035</v>
      </c>
      <c r="BM146">
        <v>751</v>
      </c>
      <c r="BN146">
        <v>11569</v>
      </c>
      <c r="BO146">
        <v>20826</v>
      </c>
      <c r="BP146">
        <v>1855</v>
      </c>
      <c r="BQ146">
        <v>344</v>
      </c>
      <c r="BR146">
        <v>5554</v>
      </c>
      <c r="BS146" t="s">
        <v>21</v>
      </c>
      <c r="BT146" t="s">
        <v>530</v>
      </c>
      <c r="BU146">
        <v>0</v>
      </c>
      <c r="BV146">
        <v>0</v>
      </c>
      <c r="BW146">
        <v>2.6</v>
      </c>
      <c r="BX146">
        <v>2.8</v>
      </c>
      <c r="BY146">
        <v>20.5</v>
      </c>
      <c r="BZ146">
        <v>21.8</v>
      </c>
      <c r="CA146">
        <v>6</v>
      </c>
      <c r="CB146">
        <v>5</v>
      </c>
      <c r="CC146">
        <v>0</v>
      </c>
      <c r="CD146">
        <f t="shared" si="65"/>
        <v>5.9633027522935755E-2</v>
      </c>
      <c r="CE146">
        <v>0.83333333333333337</v>
      </c>
    </row>
    <row r="147" spans="1:83" x14ac:dyDescent="0.4">
      <c r="A147" t="s">
        <v>1094</v>
      </c>
      <c r="B147" t="s">
        <v>42</v>
      </c>
      <c r="C147" t="s">
        <v>82</v>
      </c>
      <c r="D147" t="s">
        <v>82</v>
      </c>
      <c r="E147" t="s">
        <v>49</v>
      </c>
      <c r="F147" t="s">
        <v>12</v>
      </c>
      <c r="G147">
        <v>60</v>
      </c>
      <c r="H147">
        <v>84</v>
      </c>
      <c r="I147">
        <v>85</v>
      </c>
      <c r="J147">
        <f t="shared" si="48"/>
        <v>-25</v>
      </c>
      <c r="K147">
        <f t="shared" si="49"/>
        <v>-1</v>
      </c>
      <c r="L147">
        <v>-24</v>
      </c>
      <c r="M147">
        <v>84.86</v>
      </c>
      <c r="N147" t="s">
        <v>534</v>
      </c>
      <c r="O147" t="s">
        <v>535</v>
      </c>
      <c r="P147" t="s">
        <v>13</v>
      </c>
      <c r="Q147">
        <v>0.1</v>
      </c>
      <c r="R147" t="s">
        <v>13</v>
      </c>
      <c r="S147" t="s">
        <v>35</v>
      </c>
      <c r="T147" t="s">
        <v>14</v>
      </c>
      <c r="U147">
        <v>2.5</v>
      </c>
      <c r="V147" t="s">
        <v>14</v>
      </c>
      <c r="W147">
        <f t="shared" si="50"/>
        <v>1</v>
      </c>
      <c r="X147" t="s">
        <v>14</v>
      </c>
      <c r="Y147" t="s">
        <v>14</v>
      </c>
      <c r="Z147">
        <v>0</v>
      </c>
      <c r="AA147">
        <f t="shared" si="44"/>
        <v>3498.2999534233818</v>
      </c>
      <c r="AB147">
        <f t="shared" si="45"/>
        <v>89.986027014438761</v>
      </c>
      <c r="AC147">
        <f t="shared" si="46"/>
        <v>78.830926874708894</v>
      </c>
      <c r="AD147" t="s">
        <v>27</v>
      </c>
      <c r="AE147" t="s">
        <v>27</v>
      </c>
      <c r="AF147" t="s">
        <v>18</v>
      </c>
      <c r="AG147" t="s">
        <v>14</v>
      </c>
      <c r="AH147" t="s">
        <v>14</v>
      </c>
      <c r="AI147" t="s">
        <v>18</v>
      </c>
      <c r="AJ147" t="s">
        <v>14</v>
      </c>
      <c r="AK147" t="s">
        <v>14</v>
      </c>
      <c r="AL147" t="s">
        <v>14</v>
      </c>
      <c r="AM147">
        <f t="shared" si="47"/>
        <v>87.603519668737064</v>
      </c>
      <c r="AN147">
        <f t="shared" si="51"/>
        <v>3808.5791925465837</v>
      </c>
      <c r="AO147">
        <f t="shared" si="52"/>
        <v>3299.1071428571427</v>
      </c>
      <c r="AP147">
        <f t="shared" si="53"/>
        <v>279.29606625258799</v>
      </c>
      <c r="AQ147">
        <f t="shared" si="54"/>
        <v>171.55797101449275</v>
      </c>
      <c r="AR147">
        <f t="shared" si="55"/>
        <v>230.17598343685299</v>
      </c>
      <c r="AS147">
        <f t="shared" si="56"/>
        <v>6.6255239869585472</v>
      </c>
      <c r="AT147">
        <f t="shared" si="57"/>
        <v>11.155100139729857</v>
      </c>
      <c r="AU147">
        <f t="shared" si="58"/>
        <v>3.8447033401624724</v>
      </c>
      <c r="AV147">
        <f t="shared" si="59"/>
        <v>4.5045136871574813</v>
      </c>
      <c r="AW147">
        <f t="shared" si="60"/>
        <v>7.3333401284965358</v>
      </c>
      <c r="AX147">
        <f t="shared" si="61"/>
        <v>6.0436181525989801</v>
      </c>
      <c r="AY147">
        <f t="shared" si="62"/>
        <v>703.60465116279113</v>
      </c>
      <c r="AZ147">
        <f t="shared" si="63"/>
        <v>146.42857142857142</v>
      </c>
      <c r="BA147">
        <f t="shared" si="64"/>
        <v>12.396480331262939</v>
      </c>
      <c r="BB147" t="s">
        <v>16</v>
      </c>
      <c r="BC147" t="s">
        <v>16</v>
      </c>
      <c r="BD147">
        <v>85.88</v>
      </c>
      <c r="BE147">
        <v>77.28</v>
      </c>
      <c r="BF147">
        <v>67.7</v>
      </c>
      <c r="BG147">
        <v>9.58</v>
      </c>
      <c r="BH147">
        <v>5.69</v>
      </c>
      <c r="BI147">
        <v>300434</v>
      </c>
      <c r="BJ147">
        <v>254955</v>
      </c>
      <c r="BK147">
        <v>13258</v>
      </c>
      <c r="BL147">
        <v>2443</v>
      </c>
      <c r="BM147">
        <v>5618</v>
      </c>
      <c r="BN147">
        <v>11316</v>
      </c>
      <c r="BO147">
        <v>2207</v>
      </c>
      <c r="BP147">
        <v>3932</v>
      </c>
      <c r="BQ147">
        <v>598</v>
      </c>
      <c r="BR147">
        <v>6051</v>
      </c>
      <c r="BS147" t="s">
        <v>21</v>
      </c>
      <c r="BT147" t="s">
        <v>533</v>
      </c>
      <c r="BU147">
        <v>0</v>
      </c>
      <c r="BV147">
        <v>1.1000000000000001</v>
      </c>
      <c r="BW147">
        <v>0</v>
      </c>
      <c r="BX147">
        <v>0</v>
      </c>
      <c r="BY147">
        <v>88.6</v>
      </c>
      <c r="BZ147">
        <v>89.7</v>
      </c>
      <c r="CA147">
        <v>1</v>
      </c>
      <c r="CB147">
        <v>1</v>
      </c>
      <c r="CC147">
        <v>0</v>
      </c>
      <c r="CD147">
        <f t="shared" si="65"/>
        <v>1.2263099219621099E-2</v>
      </c>
      <c r="CE147">
        <v>1</v>
      </c>
    </row>
    <row r="148" spans="1:83" x14ac:dyDescent="0.4">
      <c r="A148" t="s">
        <v>1095</v>
      </c>
      <c r="B148" t="s">
        <v>34</v>
      </c>
      <c r="C148" t="s">
        <v>34</v>
      </c>
      <c r="D148" t="s">
        <v>34</v>
      </c>
      <c r="E148" t="s">
        <v>49</v>
      </c>
      <c r="F148" t="s">
        <v>32</v>
      </c>
      <c r="G148">
        <v>70</v>
      </c>
      <c r="H148">
        <v>70</v>
      </c>
      <c r="I148">
        <v>6.5</v>
      </c>
      <c r="J148">
        <f t="shared" si="48"/>
        <v>63.5</v>
      </c>
      <c r="K148">
        <f t="shared" si="49"/>
        <v>63.5</v>
      </c>
      <c r="L148">
        <v>0</v>
      </c>
      <c r="M148">
        <v>6.74</v>
      </c>
      <c r="N148" t="s">
        <v>536</v>
      </c>
      <c r="O148" t="s">
        <v>537</v>
      </c>
      <c r="P148" t="s">
        <v>13</v>
      </c>
      <c r="Q148">
        <v>0</v>
      </c>
      <c r="R148" t="s">
        <v>13</v>
      </c>
      <c r="S148" t="s">
        <v>15</v>
      </c>
      <c r="T148" t="s">
        <v>14</v>
      </c>
      <c r="U148">
        <v>2.5</v>
      </c>
      <c r="V148" t="s">
        <v>14</v>
      </c>
      <c r="W148">
        <v>0</v>
      </c>
      <c r="X148" t="s">
        <v>14</v>
      </c>
      <c r="Y148" t="s">
        <v>14</v>
      </c>
      <c r="Z148">
        <v>0</v>
      </c>
      <c r="AA148">
        <f t="shared" si="44"/>
        <v>1768.4566428003181</v>
      </c>
      <c r="AB148">
        <f t="shared" si="45"/>
        <v>2.2673031026252981</v>
      </c>
      <c r="AC148">
        <f t="shared" si="46"/>
        <v>2.0684168655529036</v>
      </c>
      <c r="AD148" t="s">
        <v>36</v>
      </c>
      <c r="AE148" t="s">
        <v>15</v>
      </c>
      <c r="AF148" t="s">
        <v>18</v>
      </c>
      <c r="AG148" t="s">
        <v>14</v>
      </c>
      <c r="AH148" t="s">
        <v>14</v>
      </c>
      <c r="AI148" t="s">
        <v>14</v>
      </c>
      <c r="AJ148" t="s">
        <v>14</v>
      </c>
      <c r="AK148" t="s">
        <v>14</v>
      </c>
      <c r="AL148" t="s">
        <v>14</v>
      </c>
      <c r="AM148">
        <f t="shared" si="47"/>
        <v>91.228070175438603</v>
      </c>
      <c r="AN148">
        <f t="shared" si="51"/>
        <v>6598.2456140350887</v>
      </c>
      <c r="AO148">
        <f t="shared" si="52"/>
        <v>5257.8947368421059</v>
      </c>
      <c r="AP148">
        <f t="shared" si="53"/>
        <v>1047.3684210526317</v>
      </c>
      <c r="AQ148">
        <f t="shared" si="54"/>
        <v>96.491228070175453</v>
      </c>
      <c r="AR148">
        <f t="shared" si="55"/>
        <v>292.98245614035091</v>
      </c>
      <c r="AS148">
        <f t="shared" si="56"/>
        <v>13.882259347653141</v>
      </c>
      <c r="AT148">
        <f t="shared" si="57"/>
        <v>0.19888623707239458</v>
      </c>
      <c r="AU148">
        <f t="shared" si="58"/>
        <v>6.3812815740494546</v>
      </c>
      <c r="AV148">
        <f t="shared" si="59"/>
        <v>1.4623770273863335</v>
      </c>
      <c r="AW148">
        <f t="shared" si="60"/>
        <v>15.873437915448019</v>
      </c>
      <c r="AX148">
        <f t="shared" si="61"/>
        <v>4.4403084286094128</v>
      </c>
      <c r="AY148">
        <f t="shared" si="62"/>
        <v>1656.2881562881562</v>
      </c>
      <c r="AZ148">
        <f t="shared" si="63"/>
        <v>421.0526315789474</v>
      </c>
      <c r="BA148">
        <f t="shared" si="64"/>
        <v>8.7719298245614041</v>
      </c>
      <c r="BB148" t="s">
        <v>33</v>
      </c>
      <c r="BC148" t="s">
        <v>33</v>
      </c>
      <c r="BD148">
        <v>25.14</v>
      </c>
      <c r="BE148">
        <v>0.56999999999999995</v>
      </c>
      <c r="BF148">
        <v>0.52</v>
      </c>
      <c r="BG148">
        <v>0.05</v>
      </c>
      <c r="BH148">
        <v>3.49</v>
      </c>
      <c r="BI148">
        <v>44459</v>
      </c>
      <c r="BJ148">
        <v>2997</v>
      </c>
      <c r="BK148">
        <v>55</v>
      </c>
      <c r="BL148">
        <v>250</v>
      </c>
      <c r="BM148">
        <v>39</v>
      </c>
      <c r="BN148">
        <v>240</v>
      </c>
      <c r="BO148">
        <v>68</v>
      </c>
      <c r="BP148">
        <v>9</v>
      </c>
      <c r="BQ148">
        <v>103</v>
      </c>
      <c r="BR148">
        <v>40695</v>
      </c>
      <c r="BS148" t="s">
        <v>44</v>
      </c>
      <c r="BT148" t="s">
        <v>311</v>
      </c>
      <c r="BU148">
        <v>0.1</v>
      </c>
      <c r="BV148">
        <v>0</v>
      </c>
      <c r="BW148">
        <v>0</v>
      </c>
      <c r="BX148">
        <v>0</v>
      </c>
      <c r="BY148">
        <v>27.4</v>
      </c>
      <c r="BZ148">
        <v>27.4</v>
      </c>
      <c r="CA148">
        <v>0</v>
      </c>
      <c r="CB148">
        <v>0</v>
      </c>
      <c r="CC148">
        <v>0</v>
      </c>
      <c r="CD148">
        <f t="shared" si="65"/>
        <v>0</v>
      </c>
      <c r="CE148">
        <v>0</v>
      </c>
    </row>
    <row r="149" spans="1:83" x14ac:dyDescent="0.4">
      <c r="A149" t="s">
        <v>1096</v>
      </c>
      <c r="B149" t="s">
        <v>49</v>
      </c>
      <c r="C149" t="s">
        <v>73</v>
      </c>
      <c r="D149" t="s">
        <v>82</v>
      </c>
      <c r="E149" t="s">
        <v>49</v>
      </c>
      <c r="F149" t="s">
        <v>22</v>
      </c>
      <c r="G149">
        <v>50</v>
      </c>
      <c r="H149">
        <v>50</v>
      </c>
      <c r="I149">
        <v>59.5</v>
      </c>
      <c r="J149">
        <f t="shared" si="48"/>
        <v>-9.5</v>
      </c>
      <c r="K149">
        <f t="shared" si="49"/>
        <v>-9.5</v>
      </c>
      <c r="L149">
        <v>0</v>
      </c>
      <c r="M149">
        <v>59.33</v>
      </c>
      <c r="N149" t="s">
        <v>539</v>
      </c>
      <c r="O149" t="s">
        <v>540</v>
      </c>
      <c r="P149" t="s">
        <v>13</v>
      </c>
      <c r="Q149">
        <v>0</v>
      </c>
      <c r="R149" t="s">
        <v>38</v>
      </c>
      <c r="S149" t="s">
        <v>15</v>
      </c>
      <c r="T149" t="s">
        <v>14</v>
      </c>
      <c r="U149">
        <v>55</v>
      </c>
      <c r="V149" t="s">
        <v>17</v>
      </c>
      <c r="W149">
        <f t="shared" si="50"/>
        <v>1</v>
      </c>
      <c r="X149" t="s">
        <v>14</v>
      </c>
      <c r="Y149" t="s">
        <v>14</v>
      </c>
      <c r="Z149">
        <v>30</v>
      </c>
      <c r="AA149">
        <f t="shared" si="44"/>
        <v>6022.8144989339016</v>
      </c>
      <c r="AB149">
        <f t="shared" si="45"/>
        <v>73.773987206823023</v>
      </c>
      <c r="AC149">
        <f t="shared" si="46"/>
        <v>33.901918976545836</v>
      </c>
      <c r="AD149" t="s">
        <v>15</v>
      </c>
      <c r="AE149" t="s">
        <v>27</v>
      </c>
      <c r="AF149" t="s">
        <v>24</v>
      </c>
      <c r="AG149" t="s">
        <v>14</v>
      </c>
      <c r="AH149" t="s">
        <v>17</v>
      </c>
      <c r="AI149" t="s">
        <v>41</v>
      </c>
      <c r="AJ149" t="s">
        <v>14</v>
      </c>
      <c r="AK149" t="s">
        <v>14</v>
      </c>
      <c r="AL149" t="s">
        <v>17</v>
      </c>
      <c r="AM149">
        <f t="shared" si="47"/>
        <v>45.953757225433527</v>
      </c>
      <c r="AN149">
        <f t="shared" si="51"/>
        <v>7610.4046242774566</v>
      </c>
      <c r="AO149">
        <f t="shared" si="52"/>
        <v>4843.3526011560698</v>
      </c>
      <c r="AP149">
        <f t="shared" si="53"/>
        <v>1705.2023121387283</v>
      </c>
      <c r="AQ149">
        <f t="shared" si="54"/>
        <v>822.25433526011557</v>
      </c>
      <c r="AR149">
        <f t="shared" si="55"/>
        <v>1061.849710982659</v>
      </c>
      <c r="AS149">
        <f t="shared" si="56"/>
        <v>16.204690831556501</v>
      </c>
      <c r="AT149">
        <f t="shared" si="57"/>
        <v>39.872068230277179</v>
      </c>
      <c r="AU149">
        <f t="shared" si="58"/>
        <v>14.389336168919945</v>
      </c>
      <c r="AV149">
        <f t="shared" si="59"/>
        <v>10.804344523773356</v>
      </c>
      <c r="AW149">
        <f t="shared" si="60"/>
        <v>22.406197782166185</v>
      </c>
      <c r="AX149">
        <f t="shared" si="61"/>
        <v>13.952605195199757</v>
      </c>
      <c r="AY149">
        <f t="shared" si="62"/>
        <v>1529.2682926829264</v>
      </c>
      <c r="AZ149">
        <f t="shared" si="63"/>
        <v>1095.0867052023123</v>
      </c>
      <c r="BA149">
        <f t="shared" si="64"/>
        <v>54.046242774566473</v>
      </c>
      <c r="BB149" t="s">
        <v>40</v>
      </c>
      <c r="BC149" t="s">
        <v>40</v>
      </c>
      <c r="BD149">
        <v>4.6900000000000004</v>
      </c>
      <c r="BE149">
        <v>3.46</v>
      </c>
      <c r="BF149">
        <v>1.59</v>
      </c>
      <c r="BG149">
        <v>1.87</v>
      </c>
      <c r="BH149">
        <v>0.76</v>
      </c>
      <c r="BI149">
        <v>28247</v>
      </c>
      <c r="BJ149">
        <v>16758</v>
      </c>
      <c r="BK149">
        <v>2845</v>
      </c>
      <c r="BL149">
        <v>439</v>
      </c>
      <c r="BM149">
        <v>286</v>
      </c>
      <c r="BN149">
        <v>3789</v>
      </c>
      <c r="BO149">
        <v>1386</v>
      </c>
      <c r="BP149">
        <v>376</v>
      </c>
      <c r="BQ149">
        <v>453</v>
      </c>
      <c r="BR149">
        <v>1881</v>
      </c>
      <c r="BS149" t="s">
        <v>21</v>
      </c>
      <c r="BT149" t="s">
        <v>246</v>
      </c>
      <c r="BU149">
        <v>0</v>
      </c>
      <c r="BV149">
        <v>0.1</v>
      </c>
      <c r="BW149">
        <v>52.2</v>
      </c>
      <c r="BX149">
        <v>16.8</v>
      </c>
      <c r="BY149">
        <v>5.4</v>
      </c>
      <c r="BZ149">
        <v>17.600000000000001</v>
      </c>
      <c r="CA149">
        <v>6</v>
      </c>
      <c r="CB149">
        <v>6</v>
      </c>
      <c r="CC149">
        <v>0</v>
      </c>
      <c r="CD149">
        <f t="shared" si="65"/>
        <v>0.69318181818181812</v>
      </c>
      <c r="CE149">
        <v>1</v>
      </c>
    </row>
    <row r="150" spans="1:83" x14ac:dyDescent="0.4">
      <c r="A150" t="s">
        <v>1097</v>
      </c>
      <c r="B150" t="s">
        <v>19</v>
      </c>
      <c r="C150" t="s">
        <v>19</v>
      </c>
      <c r="D150" t="s">
        <v>19</v>
      </c>
      <c r="E150" t="s">
        <v>49</v>
      </c>
      <c r="F150" t="s">
        <v>22</v>
      </c>
      <c r="G150">
        <v>50</v>
      </c>
      <c r="H150">
        <v>93</v>
      </c>
      <c r="I150">
        <v>37</v>
      </c>
      <c r="J150">
        <f t="shared" si="48"/>
        <v>13</v>
      </c>
      <c r="K150">
        <f t="shared" si="49"/>
        <v>56</v>
      </c>
      <c r="L150">
        <v>-43</v>
      </c>
      <c r="M150">
        <v>37.229999999999997</v>
      </c>
      <c r="N150" t="s">
        <v>542</v>
      </c>
      <c r="O150" t="s">
        <v>543</v>
      </c>
      <c r="P150" t="s">
        <v>13</v>
      </c>
      <c r="Q150">
        <v>0.2</v>
      </c>
      <c r="R150" t="s">
        <v>26</v>
      </c>
      <c r="S150" t="s">
        <v>15</v>
      </c>
      <c r="T150" t="s">
        <v>14</v>
      </c>
      <c r="U150">
        <v>7.5</v>
      </c>
      <c r="V150" t="s">
        <v>14</v>
      </c>
      <c r="W150">
        <f t="shared" si="50"/>
        <v>0.4</v>
      </c>
      <c r="X150" t="s">
        <v>14</v>
      </c>
      <c r="Y150" t="s">
        <v>14</v>
      </c>
      <c r="Z150">
        <v>0</v>
      </c>
      <c r="AA150">
        <f t="shared" si="44"/>
        <v>5970.1641684511069</v>
      </c>
      <c r="AB150">
        <f t="shared" si="45"/>
        <v>42.11277658815132</v>
      </c>
      <c r="AC150">
        <f t="shared" si="46"/>
        <v>18.986438258386865</v>
      </c>
      <c r="AD150" t="s">
        <v>15</v>
      </c>
      <c r="AE150" t="s">
        <v>15</v>
      </c>
      <c r="AF150" t="s">
        <v>18</v>
      </c>
      <c r="AG150" t="s">
        <v>14</v>
      </c>
      <c r="AH150" t="s">
        <v>14</v>
      </c>
      <c r="AI150" t="s">
        <v>18</v>
      </c>
      <c r="AJ150" t="s">
        <v>14</v>
      </c>
      <c r="AK150" t="s">
        <v>14</v>
      </c>
      <c r="AL150" t="s">
        <v>14</v>
      </c>
      <c r="AM150">
        <f t="shared" si="47"/>
        <v>45.084745762711862</v>
      </c>
      <c r="AN150">
        <f t="shared" si="51"/>
        <v>7030.1694915254229</v>
      </c>
      <c r="AO150">
        <f t="shared" si="52"/>
        <v>5277.2881355932204</v>
      </c>
      <c r="AP150">
        <f t="shared" si="53"/>
        <v>1088.6440677966102</v>
      </c>
      <c r="AQ150">
        <f t="shared" si="54"/>
        <v>548.47457627118638</v>
      </c>
      <c r="AR150">
        <f t="shared" si="55"/>
        <v>664.23728813559319</v>
      </c>
      <c r="AS150">
        <f t="shared" si="56"/>
        <v>1.7844396859386153</v>
      </c>
      <c r="AT150">
        <f t="shared" si="57"/>
        <v>23.126338329764454</v>
      </c>
      <c r="AU150">
        <f t="shared" si="58"/>
        <v>7.3291865567288683</v>
      </c>
      <c r="AV150">
        <f t="shared" si="59"/>
        <v>7.8017262163074399</v>
      </c>
      <c r="AW150">
        <f t="shared" si="60"/>
        <v>15.485317517720237</v>
      </c>
      <c r="AX150">
        <f t="shared" si="61"/>
        <v>9.4483822749409327</v>
      </c>
      <c r="AY150">
        <f t="shared" si="62"/>
        <v>5195.067817509248</v>
      </c>
      <c r="AZ150">
        <f t="shared" si="63"/>
        <v>515.25423728813553</v>
      </c>
      <c r="BA150">
        <f t="shared" si="64"/>
        <v>54.915254237288131</v>
      </c>
      <c r="BB150" t="s">
        <v>29</v>
      </c>
      <c r="BC150" t="s">
        <v>31</v>
      </c>
      <c r="BD150">
        <v>14.01</v>
      </c>
      <c r="BE150">
        <v>5.9</v>
      </c>
      <c r="BF150">
        <v>2.66</v>
      </c>
      <c r="BG150">
        <v>3.24</v>
      </c>
      <c r="BH150">
        <v>0.25</v>
      </c>
      <c r="BI150">
        <v>83642</v>
      </c>
      <c r="BJ150">
        <v>31136</v>
      </c>
      <c r="BK150">
        <v>3236</v>
      </c>
      <c r="BL150">
        <v>777</v>
      </c>
      <c r="BM150">
        <v>212</v>
      </c>
      <c r="BN150">
        <v>3040</v>
      </c>
      <c r="BO150">
        <v>2394</v>
      </c>
      <c r="BP150">
        <v>347</v>
      </c>
      <c r="BQ150">
        <v>336</v>
      </c>
      <c r="BR150">
        <v>42132</v>
      </c>
      <c r="BS150" t="s">
        <v>21</v>
      </c>
      <c r="BT150" t="s">
        <v>541</v>
      </c>
      <c r="BU150">
        <v>0</v>
      </c>
      <c r="BV150">
        <v>0.1</v>
      </c>
      <c r="BW150">
        <v>0</v>
      </c>
      <c r="BX150">
        <v>1.4</v>
      </c>
      <c r="BY150">
        <v>14.8</v>
      </c>
      <c r="BZ150">
        <v>15</v>
      </c>
      <c r="CA150">
        <v>5</v>
      </c>
      <c r="CB150">
        <v>2</v>
      </c>
      <c r="CC150">
        <v>0</v>
      </c>
      <c r="CD150">
        <f t="shared" si="65"/>
        <v>1.3333333333333308E-2</v>
      </c>
      <c r="CE150">
        <v>0.4</v>
      </c>
    </row>
    <row r="151" spans="1:83" x14ac:dyDescent="0.4">
      <c r="A151" t="s">
        <v>1098</v>
      </c>
      <c r="B151" t="s">
        <v>49</v>
      </c>
      <c r="C151" t="s">
        <v>73</v>
      </c>
      <c r="D151" t="s">
        <v>82</v>
      </c>
      <c r="E151" t="s">
        <v>49</v>
      </c>
      <c r="F151" t="s">
        <v>22</v>
      </c>
      <c r="G151">
        <v>30</v>
      </c>
      <c r="H151">
        <v>40</v>
      </c>
      <c r="I151">
        <v>53</v>
      </c>
      <c r="J151">
        <f t="shared" si="48"/>
        <v>-23</v>
      </c>
      <c r="K151">
        <f t="shared" si="49"/>
        <v>-13</v>
      </c>
      <c r="L151">
        <v>-10</v>
      </c>
      <c r="M151">
        <v>52.76</v>
      </c>
      <c r="N151" t="s">
        <v>544</v>
      </c>
      <c r="O151" t="s">
        <v>545</v>
      </c>
      <c r="P151" t="s">
        <v>13</v>
      </c>
      <c r="Q151">
        <v>0.3</v>
      </c>
      <c r="R151" t="s">
        <v>26</v>
      </c>
      <c r="S151" t="s">
        <v>15</v>
      </c>
      <c r="T151" t="s">
        <v>14</v>
      </c>
      <c r="U151">
        <v>12.5</v>
      </c>
      <c r="V151" t="s">
        <v>17</v>
      </c>
      <c r="W151">
        <f t="shared" si="50"/>
        <v>1</v>
      </c>
      <c r="X151" t="s">
        <v>14</v>
      </c>
      <c r="Y151" t="s">
        <v>14</v>
      </c>
      <c r="Z151">
        <v>0</v>
      </c>
      <c r="AA151">
        <f t="shared" si="44"/>
        <v>8106.640625</v>
      </c>
      <c r="AB151">
        <f t="shared" si="45"/>
        <v>97.8515625</v>
      </c>
      <c r="AC151">
        <f t="shared" si="46"/>
        <v>41.6015625</v>
      </c>
      <c r="AD151" t="s">
        <v>15</v>
      </c>
      <c r="AE151" t="s">
        <v>15</v>
      </c>
      <c r="AF151" t="s">
        <v>18</v>
      </c>
      <c r="AG151" t="s">
        <v>14</v>
      </c>
      <c r="AH151" t="s">
        <v>17</v>
      </c>
      <c r="AI151" t="s">
        <v>24</v>
      </c>
      <c r="AJ151" t="s">
        <v>14</v>
      </c>
      <c r="AK151" t="s">
        <v>14</v>
      </c>
      <c r="AL151" t="s">
        <v>17</v>
      </c>
      <c r="AM151">
        <f t="shared" si="47"/>
        <v>42.514970059880241</v>
      </c>
      <c r="AN151">
        <f t="shared" si="51"/>
        <v>8208.5828343313369</v>
      </c>
      <c r="AO151">
        <f t="shared" si="52"/>
        <v>4370.6586826347311</v>
      </c>
      <c r="AP151">
        <f t="shared" si="53"/>
        <v>2192.2155688622756</v>
      </c>
      <c r="AQ151">
        <f t="shared" si="54"/>
        <v>1416.5668662674652</v>
      </c>
      <c r="AR151">
        <f t="shared" si="55"/>
        <v>1645.7085828343313</v>
      </c>
      <c r="AS151">
        <f t="shared" si="56"/>
        <v>0.9765625</v>
      </c>
      <c r="AT151">
        <f t="shared" si="57"/>
        <v>56.25</v>
      </c>
      <c r="AU151">
        <f t="shared" si="58"/>
        <v>18.008510638297871</v>
      </c>
      <c r="AV151">
        <f t="shared" si="59"/>
        <v>17.257142857142856</v>
      </c>
      <c r="AW151">
        <f t="shared" si="60"/>
        <v>26.706382978723404</v>
      </c>
      <c r="AX151">
        <f t="shared" si="61"/>
        <v>20.048632218844986</v>
      </c>
      <c r="AY151">
        <f t="shared" si="62"/>
        <v>2718.1818181818103</v>
      </c>
      <c r="AZ151">
        <f t="shared" si="63"/>
        <v>1478.243512974052</v>
      </c>
      <c r="BA151">
        <f t="shared" si="64"/>
        <v>57.485029940119766</v>
      </c>
      <c r="BB151" t="s">
        <v>30</v>
      </c>
      <c r="BC151" t="s">
        <v>30</v>
      </c>
      <c r="BD151">
        <v>5.12</v>
      </c>
      <c r="BE151">
        <v>5.01</v>
      </c>
      <c r="BF151">
        <v>2.13</v>
      </c>
      <c r="BG151">
        <v>2.88</v>
      </c>
      <c r="BH151">
        <v>0.05</v>
      </c>
      <c r="BI151">
        <v>41506</v>
      </c>
      <c r="BJ151">
        <v>21897</v>
      </c>
      <c r="BK151">
        <v>7097</v>
      </c>
      <c r="BL151">
        <v>1322</v>
      </c>
      <c r="BM151">
        <v>880</v>
      </c>
      <c r="BN151">
        <v>7406</v>
      </c>
      <c r="BO151">
        <v>1375</v>
      </c>
      <c r="BP151">
        <v>947</v>
      </c>
      <c r="BQ151">
        <v>201</v>
      </c>
      <c r="BR151">
        <v>299</v>
      </c>
      <c r="BS151" t="s">
        <v>21</v>
      </c>
      <c r="BT151" t="s">
        <v>151</v>
      </c>
      <c r="BU151">
        <v>0</v>
      </c>
      <c r="BV151">
        <v>0</v>
      </c>
      <c r="BW151">
        <v>9.3000000000000007</v>
      </c>
      <c r="BX151">
        <v>10.199999999999999</v>
      </c>
      <c r="BY151">
        <v>5.3</v>
      </c>
      <c r="BZ151">
        <v>6.7</v>
      </c>
      <c r="CA151">
        <v>3</v>
      </c>
      <c r="CB151">
        <v>3</v>
      </c>
      <c r="CC151">
        <v>0</v>
      </c>
      <c r="CD151">
        <f t="shared" si="65"/>
        <v>0.20895522388059706</v>
      </c>
      <c r="CE151">
        <v>1</v>
      </c>
    </row>
    <row r="152" spans="1:83" x14ac:dyDescent="0.4">
      <c r="A152" t="s">
        <v>1099</v>
      </c>
      <c r="B152" t="s">
        <v>49</v>
      </c>
      <c r="C152" t="s">
        <v>73</v>
      </c>
      <c r="D152" t="s">
        <v>82</v>
      </c>
      <c r="E152" t="s">
        <v>49</v>
      </c>
      <c r="F152" t="s">
        <v>12</v>
      </c>
      <c r="G152">
        <v>30</v>
      </c>
      <c r="H152">
        <v>35</v>
      </c>
      <c r="I152">
        <v>30</v>
      </c>
      <c r="J152">
        <f t="shared" si="48"/>
        <v>0</v>
      </c>
      <c r="K152">
        <f t="shared" si="49"/>
        <v>5</v>
      </c>
      <c r="L152">
        <v>-5</v>
      </c>
      <c r="M152">
        <v>29.88</v>
      </c>
      <c r="N152" t="s">
        <v>546</v>
      </c>
      <c r="O152" t="s">
        <v>547</v>
      </c>
      <c r="P152" t="s">
        <v>13</v>
      </c>
      <c r="Q152">
        <v>0.2</v>
      </c>
      <c r="R152" t="s">
        <v>13</v>
      </c>
      <c r="S152" t="s">
        <v>27</v>
      </c>
      <c r="T152" t="s">
        <v>14</v>
      </c>
      <c r="U152">
        <v>0</v>
      </c>
      <c r="V152" t="s">
        <v>14</v>
      </c>
      <c r="W152">
        <f t="shared" si="50"/>
        <v>1</v>
      </c>
      <c r="X152" t="s">
        <v>14</v>
      </c>
      <c r="Y152" t="s">
        <v>14</v>
      </c>
      <c r="Z152">
        <v>0</v>
      </c>
      <c r="AA152">
        <f t="shared" si="44"/>
        <v>5216.9111369809862</v>
      </c>
      <c r="AB152">
        <f t="shared" si="45"/>
        <v>71.703531237873506</v>
      </c>
      <c r="AC152">
        <f t="shared" si="46"/>
        <v>24.447031431897557</v>
      </c>
      <c r="AD152" t="s">
        <v>27</v>
      </c>
      <c r="AE152" t="s">
        <v>15</v>
      </c>
      <c r="AF152" t="s">
        <v>24</v>
      </c>
      <c r="AG152" t="s">
        <v>14</v>
      </c>
      <c r="AH152" t="s">
        <v>17</v>
      </c>
      <c r="AI152" t="s">
        <v>24</v>
      </c>
      <c r="AJ152" t="s">
        <v>14</v>
      </c>
      <c r="AK152" t="s">
        <v>17</v>
      </c>
      <c r="AL152" t="s">
        <v>17</v>
      </c>
      <c r="AM152">
        <f t="shared" si="47"/>
        <v>34.094598982573871</v>
      </c>
      <c r="AN152">
        <f t="shared" si="51"/>
        <v>5551.1906050438356</v>
      </c>
      <c r="AO152">
        <f t="shared" si="52"/>
        <v>2173.6280982790345</v>
      </c>
      <c r="AP152">
        <f t="shared" si="53"/>
        <v>2123.0327957571167</v>
      </c>
      <c r="AQ152">
        <f t="shared" si="54"/>
        <v>1051.8779088645958</v>
      </c>
      <c r="AR152">
        <f t="shared" si="55"/>
        <v>1254.5297110076849</v>
      </c>
      <c r="AS152">
        <f t="shared" si="56"/>
        <v>0.22118742724097787</v>
      </c>
      <c r="AT152">
        <f t="shared" si="57"/>
        <v>47.256499805975942</v>
      </c>
      <c r="AU152">
        <f t="shared" si="58"/>
        <v>23.919009426282649</v>
      </c>
      <c r="AV152">
        <f t="shared" si="59"/>
        <v>18.948690176641655</v>
      </c>
      <c r="AW152">
        <f t="shared" si="60"/>
        <v>38.244638795650786</v>
      </c>
      <c r="AX152">
        <f t="shared" si="61"/>
        <v>22.599290859654751</v>
      </c>
      <c r="AY152">
        <f t="shared" si="62"/>
        <v>4346.1601755348338</v>
      </c>
      <c r="AZ152">
        <f t="shared" si="63"/>
        <v>1327.7898040913519</v>
      </c>
      <c r="BA152">
        <f t="shared" si="64"/>
        <v>65.905401017426129</v>
      </c>
      <c r="BB152" t="s">
        <v>16</v>
      </c>
      <c r="BC152" t="s">
        <v>16</v>
      </c>
      <c r="BD152">
        <v>257.7</v>
      </c>
      <c r="BE152">
        <v>184.78</v>
      </c>
      <c r="BF152">
        <v>63</v>
      </c>
      <c r="BG152">
        <v>121.78</v>
      </c>
      <c r="BH152">
        <v>0.56999999999999995</v>
      </c>
      <c r="BI152">
        <v>1344398</v>
      </c>
      <c r="BJ152">
        <v>401643</v>
      </c>
      <c r="BK152">
        <v>194366</v>
      </c>
      <c r="BL152">
        <v>107287</v>
      </c>
      <c r="BM152">
        <v>31048</v>
      </c>
      <c r="BN152">
        <v>245349</v>
      </c>
      <c r="BO152">
        <v>8610</v>
      </c>
      <c r="BP152">
        <v>32589</v>
      </c>
      <c r="BQ152">
        <v>4857</v>
      </c>
      <c r="BR152">
        <v>316922</v>
      </c>
      <c r="BS152" t="s">
        <v>21</v>
      </c>
      <c r="BT152" t="s">
        <v>494</v>
      </c>
      <c r="BU152">
        <v>0</v>
      </c>
      <c r="BV152">
        <v>0.1</v>
      </c>
      <c r="BW152">
        <v>0</v>
      </c>
      <c r="BX152">
        <v>0.1</v>
      </c>
      <c r="BY152">
        <v>305.5</v>
      </c>
      <c r="BZ152">
        <v>306.5</v>
      </c>
      <c r="CA152">
        <v>1</v>
      </c>
      <c r="CB152">
        <v>1</v>
      </c>
      <c r="CC152">
        <v>0</v>
      </c>
      <c r="CD152">
        <f t="shared" si="65"/>
        <v>3.2626427406199365E-3</v>
      </c>
      <c r="CE152">
        <v>1</v>
      </c>
    </row>
    <row r="153" spans="1:83" x14ac:dyDescent="0.4">
      <c r="A153" t="s">
        <v>1100</v>
      </c>
      <c r="B153" t="s">
        <v>49</v>
      </c>
      <c r="C153" t="s">
        <v>73</v>
      </c>
      <c r="D153" t="s">
        <v>82</v>
      </c>
      <c r="E153" t="s">
        <v>49</v>
      </c>
      <c r="F153" t="s">
        <v>12</v>
      </c>
      <c r="G153">
        <v>20</v>
      </c>
      <c r="H153">
        <v>46</v>
      </c>
      <c r="I153">
        <v>53.5</v>
      </c>
      <c r="J153">
        <f t="shared" si="48"/>
        <v>-33.5</v>
      </c>
      <c r="K153">
        <f t="shared" si="49"/>
        <v>-7.5</v>
      </c>
      <c r="L153">
        <v>-26</v>
      </c>
      <c r="M153">
        <v>53.5</v>
      </c>
      <c r="N153" t="s">
        <v>549</v>
      </c>
      <c r="O153" t="s">
        <v>550</v>
      </c>
      <c r="P153" t="s">
        <v>13</v>
      </c>
      <c r="Q153">
        <v>0</v>
      </c>
      <c r="R153" t="s">
        <v>13</v>
      </c>
      <c r="S153" t="s">
        <v>15</v>
      </c>
      <c r="T153" t="s">
        <v>14</v>
      </c>
      <c r="U153">
        <v>15</v>
      </c>
      <c r="V153" t="s">
        <v>17</v>
      </c>
      <c r="W153">
        <f t="shared" si="50"/>
        <v>1</v>
      </c>
      <c r="X153" t="s">
        <v>14</v>
      </c>
      <c r="Y153" t="s">
        <v>14</v>
      </c>
      <c r="Z153">
        <v>0</v>
      </c>
      <c r="AA153">
        <f t="shared" si="44"/>
        <v>3748.5267857142858</v>
      </c>
      <c r="AB153">
        <f t="shared" si="45"/>
        <v>77.663690476190467</v>
      </c>
      <c r="AC153">
        <f t="shared" si="46"/>
        <v>43.18452380952381</v>
      </c>
      <c r="AD153" t="s">
        <v>27</v>
      </c>
      <c r="AE153" t="s">
        <v>27</v>
      </c>
      <c r="AF153" t="s">
        <v>18</v>
      </c>
      <c r="AG153" t="s">
        <v>14</v>
      </c>
      <c r="AH153" t="s">
        <v>14</v>
      </c>
      <c r="AI153" t="s">
        <v>24</v>
      </c>
      <c r="AJ153" t="s">
        <v>14</v>
      </c>
      <c r="AK153" t="s">
        <v>14</v>
      </c>
      <c r="AL153" t="s">
        <v>14</v>
      </c>
      <c r="AM153">
        <f t="shared" si="47"/>
        <v>55.604521939068789</v>
      </c>
      <c r="AN153">
        <f t="shared" si="51"/>
        <v>4564.5142747652808</v>
      </c>
      <c r="AO153">
        <f t="shared" si="52"/>
        <v>2582.2188158651084</v>
      </c>
      <c r="AP153">
        <f t="shared" si="53"/>
        <v>1281.4332247557004</v>
      </c>
      <c r="AQ153">
        <f t="shared" si="54"/>
        <v>527.47652807051156</v>
      </c>
      <c r="AR153">
        <f t="shared" si="55"/>
        <v>700.86223414447215</v>
      </c>
      <c r="AS153">
        <f t="shared" si="56"/>
        <v>10.25297619047619</v>
      </c>
      <c r="AT153">
        <f t="shared" si="57"/>
        <v>34.49404761904762</v>
      </c>
      <c r="AU153">
        <f t="shared" si="58"/>
        <v>14.108268757713393</v>
      </c>
      <c r="AV153">
        <f t="shared" si="59"/>
        <v>11.556027570921241</v>
      </c>
      <c r="AW153">
        <f t="shared" si="60"/>
        <v>28.073813501691699</v>
      </c>
      <c r="AX153">
        <f t="shared" si="61"/>
        <v>15.354585218829495</v>
      </c>
      <c r="AY153">
        <f t="shared" si="62"/>
        <v>896.93537641572254</v>
      </c>
      <c r="AZ153">
        <f t="shared" si="63"/>
        <v>643.97394136807816</v>
      </c>
      <c r="BA153">
        <f t="shared" si="64"/>
        <v>44.414638819697259</v>
      </c>
      <c r="BB153" t="s">
        <v>30</v>
      </c>
      <c r="BC153" t="s">
        <v>30</v>
      </c>
      <c r="BD153">
        <v>67.2</v>
      </c>
      <c r="BE153">
        <v>52.19</v>
      </c>
      <c r="BF153">
        <v>29.02</v>
      </c>
      <c r="BG153">
        <v>23.18</v>
      </c>
      <c r="BH153">
        <v>6.89</v>
      </c>
      <c r="BI153">
        <v>251901</v>
      </c>
      <c r="BJ153">
        <v>134766</v>
      </c>
      <c r="BK153">
        <v>27529</v>
      </c>
      <c r="BL153">
        <v>14429</v>
      </c>
      <c r="BM153">
        <v>1341</v>
      </c>
      <c r="BN153">
        <v>33609</v>
      </c>
      <c r="BO153">
        <v>17499</v>
      </c>
      <c r="BP153">
        <v>7415</v>
      </c>
      <c r="BQ153">
        <v>1634</v>
      </c>
      <c r="BR153">
        <v>13463</v>
      </c>
      <c r="BS153" t="s">
        <v>21</v>
      </c>
      <c r="BT153" t="s">
        <v>548</v>
      </c>
      <c r="BU153">
        <v>0</v>
      </c>
      <c r="BV153">
        <v>0</v>
      </c>
      <c r="BW153">
        <v>0</v>
      </c>
      <c r="BX153">
        <v>0.2</v>
      </c>
      <c r="BY153">
        <v>71</v>
      </c>
      <c r="BZ153">
        <v>71.2</v>
      </c>
      <c r="CA153">
        <v>3</v>
      </c>
      <c r="CB153">
        <v>3</v>
      </c>
      <c r="CC153">
        <v>0</v>
      </c>
      <c r="CD153">
        <f t="shared" si="65"/>
        <v>2.8089887640450062E-3</v>
      </c>
      <c r="CE153">
        <v>1</v>
      </c>
    </row>
    <row r="154" spans="1:83" x14ac:dyDescent="0.4">
      <c r="A154" t="s">
        <v>1101</v>
      </c>
      <c r="B154" t="s">
        <v>34</v>
      </c>
      <c r="C154" t="s">
        <v>34</v>
      </c>
      <c r="D154" t="s">
        <v>34</v>
      </c>
      <c r="E154" t="s">
        <v>49</v>
      </c>
      <c r="F154" t="s">
        <v>32</v>
      </c>
      <c r="G154">
        <v>80</v>
      </c>
      <c r="H154">
        <v>91</v>
      </c>
      <c r="I154">
        <v>57</v>
      </c>
      <c r="J154">
        <f t="shared" si="48"/>
        <v>23</v>
      </c>
      <c r="K154">
        <f t="shared" si="49"/>
        <v>34</v>
      </c>
      <c r="L154">
        <v>-11</v>
      </c>
      <c r="M154">
        <v>56.87</v>
      </c>
      <c r="N154" t="s">
        <v>552</v>
      </c>
      <c r="O154" t="s">
        <v>553</v>
      </c>
      <c r="P154" t="s">
        <v>13</v>
      </c>
      <c r="Q154">
        <v>0.2</v>
      </c>
      <c r="R154" t="s">
        <v>13</v>
      </c>
      <c r="S154" t="s">
        <v>15</v>
      </c>
      <c r="T154" t="s">
        <v>14</v>
      </c>
      <c r="U154">
        <v>5</v>
      </c>
      <c r="V154" t="s">
        <v>14</v>
      </c>
      <c r="W154">
        <v>0</v>
      </c>
      <c r="X154" t="s">
        <v>14</v>
      </c>
      <c r="Y154" t="s">
        <v>14</v>
      </c>
      <c r="Z154">
        <v>10</v>
      </c>
      <c r="AA154">
        <f t="shared" si="44"/>
        <v>3461.0603290676418</v>
      </c>
      <c r="AB154">
        <f t="shared" si="45"/>
        <v>53.016453382084094</v>
      </c>
      <c r="AC154">
        <f t="shared" si="46"/>
        <v>49.542961608775137</v>
      </c>
      <c r="AD154" t="s">
        <v>27</v>
      </c>
      <c r="AE154" t="s">
        <v>15</v>
      </c>
      <c r="AF154" t="s">
        <v>18</v>
      </c>
      <c r="AG154" t="s">
        <v>14</v>
      </c>
      <c r="AH154" t="s">
        <v>14</v>
      </c>
      <c r="AI154" t="s">
        <v>14</v>
      </c>
      <c r="AJ154" t="s">
        <v>14</v>
      </c>
      <c r="AK154" t="s">
        <v>14</v>
      </c>
      <c r="AL154" t="s">
        <v>14</v>
      </c>
      <c r="AM154">
        <f t="shared" si="47"/>
        <v>93.448275862068968</v>
      </c>
      <c r="AN154">
        <f t="shared" si="51"/>
        <v>6409.3103448275861</v>
      </c>
      <c r="AO154">
        <f t="shared" si="52"/>
        <v>3712.7586206896553</v>
      </c>
      <c r="AP154">
        <f t="shared" si="53"/>
        <v>2364.4827586206898</v>
      </c>
      <c r="AQ154">
        <f t="shared" si="54"/>
        <v>42.068965517241381</v>
      </c>
      <c r="AR154">
        <f t="shared" si="55"/>
        <v>332.06896551724139</v>
      </c>
      <c r="AS154">
        <f t="shared" si="56"/>
        <v>37.477148080438752</v>
      </c>
      <c r="AT154">
        <f t="shared" si="57"/>
        <v>3.6563071297989032</v>
      </c>
      <c r="AU154">
        <f t="shared" si="58"/>
        <v>31.828697476731048</v>
      </c>
      <c r="AV154">
        <f t="shared" si="59"/>
        <v>0.65637273363103243</v>
      </c>
      <c r="AW154">
        <f t="shared" si="60"/>
        <v>36.891375692688435</v>
      </c>
      <c r="AX154">
        <f t="shared" si="61"/>
        <v>5.1810405121859366</v>
      </c>
      <c r="AY154">
        <f t="shared" si="62"/>
        <v>129.96108949416345</v>
      </c>
      <c r="AZ154">
        <f t="shared" si="63"/>
        <v>2040</v>
      </c>
      <c r="BA154">
        <f t="shared" si="64"/>
        <v>6.8965517241379315</v>
      </c>
      <c r="BB154" t="s">
        <v>33</v>
      </c>
      <c r="BC154" t="s">
        <v>33</v>
      </c>
      <c r="BD154">
        <v>5.47</v>
      </c>
      <c r="BE154">
        <v>2.9</v>
      </c>
      <c r="BF154">
        <v>2.71</v>
      </c>
      <c r="BG154">
        <v>0.2</v>
      </c>
      <c r="BH154">
        <v>2.0499999999999998</v>
      </c>
      <c r="BI154">
        <v>18932</v>
      </c>
      <c r="BJ154">
        <v>10767</v>
      </c>
      <c r="BK154">
        <v>122</v>
      </c>
      <c r="BL154">
        <v>605</v>
      </c>
      <c r="BM154">
        <v>110</v>
      </c>
      <c r="BN154">
        <v>5916</v>
      </c>
      <c r="BO154">
        <v>226</v>
      </c>
      <c r="BP154">
        <v>64</v>
      </c>
      <c r="BQ154">
        <v>777</v>
      </c>
      <c r="BR154">
        <v>334</v>
      </c>
      <c r="BS154" t="s">
        <v>21</v>
      </c>
      <c r="BT154" t="s">
        <v>348</v>
      </c>
      <c r="BU154">
        <v>0</v>
      </c>
      <c r="BV154">
        <v>0</v>
      </c>
      <c r="BW154">
        <v>0</v>
      </c>
      <c r="BX154">
        <v>0.1</v>
      </c>
      <c r="BY154">
        <v>36</v>
      </c>
      <c r="BZ154">
        <v>36.1</v>
      </c>
      <c r="CA154">
        <v>0</v>
      </c>
      <c r="CB154">
        <v>0</v>
      </c>
      <c r="CC154">
        <v>0</v>
      </c>
      <c r="CD154">
        <f t="shared" si="65"/>
        <v>2.7700831024931594E-3</v>
      </c>
      <c r="CE154">
        <v>0</v>
      </c>
    </row>
    <row r="155" spans="1:83" x14ac:dyDescent="0.4">
      <c r="A155" t="s">
        <v>1102</v>
      </c>
      <c r="B155" t="s">
        <v>19</v>
      </c>
      <c r="C155" t="s">
        <v>19</v>
      </c>
      <c r="D155" t="s">
        <v>19</v>
      </c>
      <c r="E155" t="s">
        <v>49</v>
      </c>
      <c r="F155" t="s">
        <v>22</v>
      </c>
      <c r="G155">
        <v>70</v>
      </c>
      <c r="H155">
        <v>80</v>
      </c>
      <c r="I155">
        <v>76</v>
      </c>
      <c r="J155">
        <f t="shared" si="48"/>
        <v>-6</v>
      </c>
      <c r="K155">
        <f t="shared" si="49"/>
        <v>4</v>
      </c>
      <c r="L155">
        <v>-10</v>
      </c>
      <c r="M155">
        <v>75.78</v>
      </c>
      <c r="N155" t="s">
        <v>554</v>
      </c>
      <c r="O155" t="s">
        <v>555</v>
      </c>
      <c r="P155" t="s">
        <v>13</v>
      </c>
      <c r="Q155">
        <v>0</v>
      </c>
      <c r="R155" t="s">
        <v>13</v>
      </c>
      <c r="S155" t="s">
        <v>15</v>
      </c>
      <c r="T155" t="s">
        <v>14</v>
      </c>
      <c r="U155">
        <v>2.5</v>
      </c>
      <c r="V155" t="s">
        <v>14</v>
      </c>
      <c r="W155">
        <f t="shared" si="50"/>
        <v>0.875</v>
      </c>
      <c r="X155" t="s">
        <v>14</v>
      </c>
      <c r="Y155" t="s">
        <v>14</v>
      </c>
      <c r="Z155">
        <v>0</v>
      </c>
      <c r="AA155">
        <f t="shared" si="44"/>
        <v>4482.0915032679741</v>
      </c>
      <c r="AB155">
        <f t="shared" si="45"/>
        <v>80.784313725490193</v>
      </c>
      <c r="AC155">
        <f t="shared" si="46"/>
        <v>63.13725490196078</v>
      </c>
      <c r="AD155" t="s">
        <v>15</v>
      </c>
      <c r="AE155" t="s">
        <v>15</v>
      </c>
      <c r="AF155" t="s">
        <v>18</v>
      </c>
      <c r="AG155" t="s">
        <v>14</v>
      </c>
      <c r="AH155" t="s">
        <v>14</v>
      </c>
      <c r="AI155" t="s">
        <v>14</v>
      </c>
      <c r="AJ155" t="s">
        <v>14</v>
      </c>
      <c r="AK155" t="s">
        <v>14</v>
      </c>
      <c r="AL155" t="s">
        <v>14</v>
      </c>
      <c r="AM155">
        <f t="shared" si="47"/>
        <v>78.15533980582525</v>
      </c>
      <c r="AN155">
        <f t="shared" si="51"/>
        <v>4769.5792880258905</v>
      </c>
      <c r="AO155">
        <f t="shared" si="52"/>
        <v>4204.3689320388348</v>
      </c>
      <c r="AP155">
        <f t="shared" si="53"/>
        <v>230.09708737864079</v>
      </c>
      <c r="AQ155">
        <f t="shared" si="54"/>
        <v>219.90291262135923</v>
      </c>
      <c r="AR155">
        <f t="shared" si="55"/>
        <v>335.11326860841427</v>
      </c>
      <c r="AS155">
        <f t="shared" si="56"/>
        <v>2.7450980392156863</v>
      </c>
      <c r="AT155">
        <f t="shared" si="57"/>
        <v>17.647058823529409</v>
      </c>
      <c r="AU155">
        <f t="shared" si="58"/>
        <v>1.4825620844076537</v>
      </c>
      <c r="AV155">
        <f t="shared" si="59"/>
        <v>4.610530601167051</v>
      </c>
      <c r="AW155">
        <f t="shared" si="60"/>
        <v>4.8242638078436695</v>
      </c>
      <c r="AX155">
        <f t="shared" si="61"/>
        <v>7.0260550956710546</v>
      </c>
      <c r="AY155">
        <f t="shared" si="62"/>
        <v>3268.7074829931958</v>
      </c>
      <c r="AZ155">
        <f t="shared" si="63"/>
        <v>70.711974110032372</v>
      </c>
      <c r="BA155">
        <f t="shared" si="64"/>
        <v>21.844660194174757</v>
      </c>
      <c r="BB155" t="s">
        <v>48</v>
      </c>
      <c r="BC155" t="s">
        <v>50</v>
      </c>
      <c r="BD155">
        <v>7.65</v>
      </c>
      <c r="BE155">
        <v>6.18</v>
      </c>
      <c r="BF155">
        <v>4.83</v>
      </c>
      <c r="BG155">
        <v>1.35</v>
      </c>
      <c r="BH155">
        <v>0.21</v>
      </c>
      <c r="BI155">
        <v>34288</v>
      </c>
      <c r="BJ155">
        <v>25983</v>
      </c>
      <c r="BK155">
        <v>1359</v>
      </c>
      <c r="BL155">
        <v>372</v>
      </c>
      <c r="BM155">
        <v>33</v>
      </c>
      <c r="BN155">
        <v>437</v>
      </c>
      <c r="BO155">
        <v>580</v>
      </c>
      <c r="BP155">
        <v>324</v>
      </c>
      <c r="BQ155">
        <v>388</v>
      </c>
      <c r="BR155">
        <v>4805</v>
      </c>
      <c r="BS155" t="s">
        <v>21</v>
      </c>
      <c r="BT155" t="s">
        <v>381</v>
      </c>
      <c r="BU155">
        <v>0</v>
      </c>
      <c r="BV155">
        <v>0</v>
      </c>
      <c r="BW155">
        <v>26.3</v>
      </c>
      <c r="BX155">
        <v>0</v>
      </c>
      <c r="BY155">
        <v>8.9</v>
      </c>
      <c r="BZ155">
        <v>12</v>
      </c>
      <c r="CA155">
        <v>8</v>
      </c>
      <c r="CB155">
        <v>7</v>
      </c>
      <c r="CC155">
        <v>0</v>
      </c>
      <c r="CD155">
        <f t="shared" si="65"/>
        <v>0.2583333333333333</v>
      </c>
      <c r="CE155">
        <v>0.875</v>
      </c>
    </row>
    <row r="156" spans="1:83" x14ac:dyDescent="0.4">
      <c r="A156" t="s">
        <v>1103</v>
      </c>
      <c r="B156" t="s">
        <v>34</v>
      </c>
      <c r="C156" t="s">
        <v>34</v>
      </c>
      <c r="D156" t="s">
        <v>34</v>
      </c>
      <c r="E156" t="s">
        <v>49</v>
      </c>
      <c r="F156" t="s">
        <v>32</v>
      </c>
      <c r="G156">
        <v>20</v>
      </c>
      <c r="H156">
        <v>96</v>
      </c>
      <c r="I156">
        <v>25</v>
      </c>
      <c r="J156">
        <f t="shared" si="48"/>
        <v>-5</v>
      </c>
      <c r="K156">
        <f t="shared" si="49"/>
        <v>71</v>
      </c>
      <c r="L156">
        <v>-76</v>
      </c>
      <c r="M156">
        <v>24.8</v>
      </c>
      <c r="N156" t="s">
        <v>558</v>
      </c>
      <c r="O156" t="s">
        <v>559</v>
      </c>
      <c r="P156" t="s">
        <v>13</v>
      </c>
      <c r="Q156">
        <v>0.8</v>
      </c>
      <c r="R156" t="s">
        <v>26</v>
      </c>
      <c r="S156" t="s">
        <v>27</v>
      </c>
      <c r="T156" t="s">
        <v>14</v>
      </c>
      <c r="U156">
        <v>35</v>
      </c>
      <c r="V156" t="s">
        <v>17</v>
      </c>
      <c r="W156">
        <v>0</v>
      </c>
      <c r="X156" t="s">
        <v>14</v>
      </c>
      <c r="Y156" t="s">
        <v>14</v>
      </c>
      <c r="Z156">
        <v>30</v>
      </c>
      <c r="AA156">
        <f t="shared" si="44"/>
        <v>1570.8266129032259</v>
      </c>
      <c r="AB156">
        <f t="shared" si="45"/>
        <v>7.2379032258064511</v>
      </c>
      <c r="AC156">
        <f t="shared" si="46"/>
        <v>5.887096774193548</v>
      </c>
      <c r="AD156" t="s">
        <v>36</v>
      </c>
      <c r="AE156" t="s">
        <v>15</v>
      </c>
      <c r="AF156" t="s">
        <v>18</v>
      </c>
      <c r="AG156" t="s">
        <v>14</v>
      </c>
      <c r="AH156" t="s">
        <v>14</v>
      </c>
      <c r="AI156" t="s">
        <v>14</v>
      </c>
      <c r="AJ156" t="s">
        <v>14</v>
      </c>
      <c r="AK156" t="s">
        <v>14</v>
      </c>
      <c r="AL156" t="s">
        <v>14</v>
      </c>
      <c r="AM156">
        <f t="shared" si="47"/>
        <v>81.337047353760454</v>
      </c>
      <c r="AN156">
        <f t="shared" si="51"/>
        <v>7674.930362116992</v>
      </c>
      <c r="AO156">
        <f t="shared" si="52"/>
        <v>5382.1727019498612</v>
      </c>
      <c r="AP156">
        <f t="shared" si="53"/>
        <v>1698.8857938718663</v>
      </c>
      <c r="AQ156">
        <f t="shared" si="54"/>
        <v>235.09749303621172</v>
      </c>
      <c r="AR156">
        <f t="shared" si="55"/>
        <v>593.87186629526468</v>
      </c>
      <c r="AS156">
        <f t="shared" si="56"/>
        <v>26.491935483870968</v>
      </c>
      <c r="AT156">
        <f t="shared" si="57"/>
        <v>1.3306451612903225</v>
      </c>
      <c r="AU156">
        <f t="shared" si="58"/>
        <v>15.493775632417522</v>
      </c>
      <c r="AV156">
        <f t="shared" si="59"/>
        <v>3.0631873117264909</v>
      </c>
      <c r="AW156">
        <f t="shared" si="60"/>
        <v>22.135520632961928</v>
      </c>
      <c r="AX156">
        <f t="shared" si="61"/>
        <v>7.73781439407687</v>
      </c>
      <c r="AY156">
        <f t="shared" si="62"/>
        <v>1093.7187567920016</v>
      </c>
      <c r="AZ156">
        <f t="shared" si="63"/>
        <v>1189.1364902506964</v>
      </c>
      <c r="BA156">
        <f t="shared" si="64"/>
        <v>18.384401114206128</v>
      </c>
      <c r="BB156" t="s">
        <v>33</v>
      </c>
      <c r="BC156" t="s">
        <v>33</v>
      </c>
      <c r="BD156">
        <v>49.6</v>
      </c>
      <c r="BE156">
        <v>3.59</v>
      </c>
      <c r="BF156">
        <v>2.92</v>
      </c>
      <c r="BG156">
        <v>0.66</v>
      </c>
      <c r="BH156">
        <v>13.14</v>
      </c>
      <c r="BI156">
        <v>77913</v>
      </c>
      <c r="BJ156">
        <v>19322</v>
      </c>
      <c r="BK156">
        <v>844</v>
      </c>
      <c r="BL156">
        <v>1144</v>
      </c>
      <c r="BM156">
        <v>270</v>
      </c>
      <c r="BN156">
        <v>4269</v>
      </c>
      <c r="BO156">
        <v>416</v>
      </c>
      <c r="BP156">
        <v>268</v>
      </c>
      <c r="BQ156">
        <v>1020</v>
      </c>
      <c r="BR156">
        <v>50322</v>
      </c>
      <c r="BS156" t="s">
        <v>21</v>
      </c>
      <c r="BT156" t="s">
        <v>557</v>
      </c>
      <c r="BU156">
        <v>0.5</v>
      </c>
      <c r="BV156">
        <v>0.1</v>
      </c>
      <c r="BW156">
        <v>5.7</v>
      </c>
      <c r="BX156">
        <v>1.7</v>
      </c>
      <c r="BY156">
        <v>53.7</v>
      </c>
      <c r="BZ156">
        <v>58.9</v>
      </c>
      <c r="CA156">
        <v>0</v>
      </c>
      <c r="CB156">
        <v>0</v>
      </c>
      <c r="CC156">
        <v>0</v>
      </c>
      <c r="CD156">
        <f t="shared" si="65"/>
        <v>8.8285229202037296E-2</v>
      </c>
      <c r="CE156">
        <v>0</v>
      </c>
    </row>
    <row r="157" spans="1:83" x14ac:dyDescent="0.4">
      <c r="A157" t="s">
        <v>1104</v>
      </c>
      <c r="B157" t="s">
        <v>49</v>
      </c>
      <c r="C157" t="s">
        <v>73</v>
      </c>
      <c r="D157" t="s">
        <v>82</v>
      </c>
      <c r="E157" t="s">
        <v>49</v>
      </c>
      <c r="F157" t="s">
        <v>22</v>
      </c>
      <c r="G157">
        <v>30</v>
      </c>
      <c r="H157">
        <v>54</v>
      </c>
      <c r="I157">
        <v>54.5</v>
      </c>
      <c r="J157">
        <f t="shared" si="48"/>
        <v>-24.5</v>
      </c>
      <c r="K157">
        <f t="shared" si="49"/>
        <v>-0.5</v>
      </c>
      <c r="L157">
        <v>-24</v>
      </c>
      <c r="M157">
        <v>54.61</v>
      </c>
      <c r="N157" t="s">
        <v>560</v>
      </c>
      <c r="O157" t="s">
        <v>561</v>
      </c>
      <c r="P157" t="s">
        <v>13</v>
      </c>
      <c r="Q157">
        <v>0.1</v>
      </c>
      <c r="R157" t="s">
        <v>26</v>
      </c>
      <c r="S157" t="s">
        <v>15</v>
      </c>
      <c r="T157" t="s">
        <v>17</v>
      </c>
      <c r="U157">
        <v>50</v>
      </c>
      <c r="V157" t="s">
        <v>17</v>
      </c>
      <c r="W157" t="s">
        <v>52</v>
      </c>
      <c r="X157" t="s">
        <v>14</v>
      </c>
      <c r="Y157" t="s">
        <v>17</v>
      </c>
      <c r="Z157">
        <v>20</v>
      </c>
      <c r="AA157">
        <f t="shared" si="44"/>
        <v>4773.6888888888889</v>
      </c>
      <c r="AB157">
        <f t="shared" si="45"/>
        <v>72.844444444444449</v>
      </c>
      <c r="AC157">
        <f t="shared" si="46"/>
        <v>36.799999999999997</v>
      </c>
      <c r="AD157" t="s">
        <v>15</v>
      </c>
      <c r="AE157" t="s">
        <v>15</v>
      </c>
      <c r="AF157" t="s">
        <v>18</v>
      </c>
      <c r="AG157" t="s">
        <v>14</v>
      </c>
      <c r="AH157" t="s">
        <v>14</v>
      </c>
      <c r="AI157" t="s">
        <v>18</v>
      </c>
      <c r="AJ157" t="s">
        <v>14</v>
      </c>
      <c r="AK157" t="s">
        <v>17</v>
      </c>
      <c r="AL157" t="s">
        <v>17</v>
      </c>
      <c r="AM157">
        <f t="shared" si="47"/>
        <v>50.518608907870643</v>
      </c>
      <c r="AN157">
        <f t="shared" si="51"/>
        <v>5682.6723611958505</v>
      </c>
      <c r="AO157">
        <f t="shared" si="52"/>
        <v>3578.5845027455766</v>
      </c>
      <c r="AP157">
        <f t="shared" si="53"/>
        <v>931.4826113483831</v>
      </c>
      <c r="AQ157">
        <f t="shared" si="54"/>
        <v>942.09884075655884</v>
      </c>
      <c r="AR157">
        <f t="shared" si="55"/>
        <v>1172.6052471018913</v>
      </c>
      <c r="AS157">
        <f t="shared" si="56"/>
        <v>7.7777777777777777</v>
      </c>
      <c r="AT157">
        <f t="shared" si="57"/>
        <v>36.044444444444444</v>
      </c>
      <c r="AU157">
        <f t="shared" si="58"/>
        <v>10.731272614049969</v>
      </c>
      <c r="AV157">
        <f t="shared" si="59"/>
        <v>16.57844726698805</v>
      </c>
      <c r="AW157">
        <f t="shared" si="60"/>
        <v>16.391629714727451</v>
      </c>
      <c r="AX157">
        <f t="shared" si="61"/>
        <v>20.634750212048658</v>
      </c>
      <c r="AY157">
        <f t="shared" si="62"/>
        <v>2323.5679214402621</v>
      </c>
      <c r="AZ157">
        <f t="shared" si="63"/>
        <v>609.82306284319702</v>
      </c>
      <c r="BA157">
        <f t="shared" si="64"/>
        <v>49.481391092129343</v>
      </c>
      <c r="BB157" t="s">
        <v>52</v>
      </c>
      <c r="BC157" t="s">
        <v>52</v>
      </c>
      <c r="BD157">
        <v>22.5</v>
      </c>
      <c r="BE157">
        <v>16.39</v>
      </c>
      <c r="BF157">
        <v>8.2799999999999994</v>
      </c>
      <c r="BG157">
        <v>8.11</v>
      </c>
      <c r="BH157">
        <v>1.75</v>
      </c>
      <c r="BI157">
        <v>107408</v>
      </c>
      <c r="BJ157">
        <v>58653</v>
      </c>
      <c r="BK157">
        <v>15441</v>
      </c>
      <c r="BL157">
        <v>1909</v>
      </c>
      <c r="BM157">
        <v>2105</v>
      </c>
      <c r="BN157">
        <v>9995</v>
      </c>
      <c r="BO157">
        <v>1258</v>
      </c>
      <c r="BP157">
        <v>2368</v>
      </c>
      <c r="BQ157">
        <v>1410</v>
      </c>
      <c r="BR157">
        <v>14197</v>
      </c>
      <c r="BS157" t="s">
        <v>21</v>
      </c>
      <c r="BT157" t="s">
        <v>420</v>
      </c>
      <c r="BU157">
        <v>0</v>
      </c>
      <c r="BV157">
        <v>0.1</v>
      </c>
      <c r="BW157">
        <v>0</v>
      </c>
      <c r="BX157">
        <v>9.1</v>
      </c>
      <c r="BY157">
        <v>27.5</v>
      </c>
      <c r="BZ157">
        <v>30.4</v>
      </c>
      <c r="CA157">
        <v>10</v>
      </c>
      <c r="CB157">
        <v>10</v>
      </c>
      <c r="CC157">
        <v>0</v>
      </c>
      <c r="CD157">
        <f t="shared" si="65"/>
        <v>9.5394736842105199E-2</v>
      </c>
      <c r="CE157">
        <v>1</v>
      </c>
    </row>
    <row r="158" spans="1:83" x14ac:dyDescent="0.4">
      <c r="A158" t="s">
        <v>1105</v>
      </c>
      <c r="B158" t="s">
        <v>64</v>
      </c>
      <c r="C158" t="s">
        <v>82</v>
      </c>
      <c r="D158" t="s">
        <v>82</v>
      </c>
      <c r="E158" t="s">
        <v>49</v>
      </c>
      <c r="F158" t="s">
        <v>12</v>
      </c>
      <c r="G158">
        <v>60</v>
      </c>
      <c r="H158">
        <v>21</v>
      </c>
      <c r="I158">
        <v>39.5</v>
      </c>
      <c r="J158">
        <f t="shared" si="48"/>
        <v>20.5</v>
      </c>
      <c r="K158">
        <f t="shared" si="49"/>
        <v>-18.5</v>
      </c>
      <c r="L158">
        <v>39</v>
      </c>
      <c r="M158">
        <v>39.58</v>
      </c>
      <c r="N158" t="s">
        <v>562</v>
      </c>
      <c r="O158" t="s">
        <v>563</v>
      </c>
      <c r="P158" t="s">
        <v>13</v>
      </c>
      <c r="Q158">
        <v>0.8</v>
      </c>
      <c r="R158" t="s">
        <v>13</v>
      </c>
      <c r="S158" t="s">
        <v>15</v>
      </c>
      <c r="T158" t="s">
        <v>14</v>
      </c>
      <c r="U158">
        <v>2.5</v>
      </c>
      <c r="V158" t="s">
        <v>14</v>
      </c>
      <c r="W158">
        <f t="shared" si="50"/>
        <v>1</v>
      </c>
      <c r="X158" t="s">
        <v>14</v>
      </c>
      <c r="Y158" t="s">
        <v>14</v>
      </c>
      <c r="Z158">
        <v>0</v>
      </c>
      <c r="AA158">
        <f t="shared" si="44"/>
        <v>6640.4533230887437</v>
      </c>
      <c r="AB158">
        <f t="shared" si="45"/>
        <v>98.540145985401452</v>
      </c>
      <c r="AC158">
        <f t="shared" si="46"/>
        <v>87.168651555897043</v>
      </c>
      <c r="AD158" t="s">
        <v>15</v>
      </c>
      <c r="AE158" t="s">
        <v>15</v>
      </c>
      <c r="AF158" t="s">
        <v>18</v>
      </c>
      <c r="AG158" t="s">
        <v>14</v>
      </c>
      <c r="AH158" t="s">
        <v>14</v>
      </c>
      <c r="AI158" t="s">
        <v>41</v>
      </c>
      <c r="AJ158" t="s">
        <v>14</v>
      </c>
      <c r="AK158" t="s">
        <v>17</v>
      </c>
      <c r="AL158" t="s">
        <v>14</v>
      </c>
      <c r="AM158">
        <f t="shared" si="47"/>
        <v>88.460038986354775</v>
      </c>
      <c r="AN158">
        <f t="shared" si="51"/>
        <v>6689.7465886939572</v>
      </c>
      <c r="AO158">
        <f t="shared" si="52"/>
        <v>2667.2904483430802</v>
      </c>
      <c r="AP158">
        <f t="shared" si="53"/>
        <v>1797.2319688109162</v>
      </c>
      <c r="AQ158">
        <f t="shared" si="54"/>
        <v>2113.6452241715401</v>
      </c>
      <c r="AR158">
        <f t="shared" si="55"/>
        <v>2225.2241715399609</v>
      </c>
      <c r="AS158">
        <f t="shared" si="56"/>
        <v>0.46100653092585475</v>
      </c>
      <c r="AT158">
        <f t="shared" si="57"/>
        <v>11.371494429504418</v>
      </c>
      <c r="AU158">
        <f t="shared" si="58"/>
        <v>18.554478064245419</v>
      </c>
      <c r="AV158">
        <f t="shared" si="59"/>
        <v>31.595295817986852</v>
      </c>
      <c r="AW158">
        <f t="shared" si="60"/>
        <v>26.865471583756818</v>
      </c>
      <c r="AX158">
        <f t="shared" si="61"/>
        <v>33.263205743857526</v>
      </c>
      <c r="AY158">
        <f t="shared" si="62"/>
        <v>2955.2631578947171</v>
      </c>
      <c r="AZ158">
        <f t="shared" si="63"/>
        <v>1241.2475633528265</v>
      </c>
      <c r="BA158">
        <f t="shared" si="64"/>
        <v>11.539961013645225</v>
      </c>
      <c r="BB158" t="s">
        <v>31</v>
      </c>
      <c r="BC158" t="s">
        <v>31</v>
      </c>
      <c r="BD158">
        <v>26.03</v>
      </c>
      <c r="BE158">
        <v>25.65</v>
      </c>
      <c r="BF158">
        <v>22.69</v>
      </c>
      <c r="BG158">
        <v>2.96</v>
      </c>
      <c r="BH158">
        <v>0.12</v>
      </c>
      <c r="BI158">
        <v>172851</v>
      </c>
      <c r="BJ158">
        <v>68416</v>
      </c>
      <c r="BK158">
        <v>54215</v>
      </c>
      <c r="BL158">
        <v>7093</v>
      </c>
      <c r="BM158">
        <v>4466</v>
      </c>
      <c r="BN158">
        <v>31838</v>
      </c>
      <c r="BO158">
        <v>2702</v>
      </c>
      <c r="BP158">
        <v>1160</v>
      </c>
      <c r="BQ158">
        <v>1702</v>
      </c>
      <c r="BR158">
        <v>1123</v>
      </c>
      <c r="BS158" t="s">
        <v>21</v>
      </c>
      <c r="BT158" t="s">
        <v>382</v>
      </c>
      <c r="BU158">
        <v>0</v>
      </c>
      <c r="BV158">
        <v>0</v>
      </c>
      <c r="BW158">
        <v>0</v>
      </c>
      <c r="BX158">
        <v>0</v>
      </c>
      <c r="BY158">
        <v>26.8</v>
      </c>
      <c r="BZ158">
        <v>27</v>
      </c>
      <c r="CA158">
        <v>2</v>
      </c>
      <c r="CB158">
        <v>2</v>
      </c>
      <c r="CC158">
        <v>0</v>
      </c>
      <c r="CD158">
        <f t="shared" si="65"/>
        <v>7.4074074074074181E-3</v>
      </c>
      <c r="CE158">
        <v>1</v>
      </c>
    </row>
    <row r="159" spans="1:83" x14ac:dyDescent="0.4">
      <c r="A159" t="s">
        <v>1106</v>
      </c>
      <c r="B159" t="s">
        <v>49</v>
      </c>
      <c r="C159" t="s">
        <v>73</v>
      </c>
      <c r="D159" t="s">
        <v>82</v>
      </c>
      <c r="E159" t="s">
        <v>49</v>
      </c>
      <c r="F159" t="s">
        <v>12</v>
      </c>
      <c r="G159">
        <v>60</v>
      </c>
      <c r="H159">
        <v>36</v>
      </c>
      <c r="I159">
        <v>24.5</v>
      </c>
      <c r="J159">
        <f t="shared" si="48"/>
        <v>35.5</v>
      </c>
      <c r="K159">
        <f t="shared" si="49"/>
        <v>11.5</v>
      </c>
      <c r="L159">
        <v>24</v>
      </c>
      <c r="M159">
        <v>24.33</v>
      </c>
      <c r="N159" t="s">
        <v>565</v>
      </c>
      <c r="O159" t="s">
        <v>327</v>
      </c>
      <c r="P159" t="s">
        <v>13</v>
      </c>
      <c r="Q159">
        <v>0.2</v>
      </c>
      <c r="R159" t="s">
        <v>13</v>
      </c>
      <c r="S159" t="s">
        <v>15</v>
      </c>
      <c r="T159" t="s">
        <v>14</v>
      </c>
      <c r="U159">
        <v>0</v>
      </c>
      <c r="V159" t="s">
        <v>14</v>
      </c>
      <c r="W159">
        <f t="shared" si="50"/>
        <v>1</v>
      </c>
      <c r="X159" t="s">
        <v>14</v>
      </c>
      <c r="Y159" t="s">
        <v>14</v>
      </c>
      <c r="Z159">
        <v>0</v>
      </c>
      <c r="AA159">
        <f t="shared" si="44"/>
        <v>3543.4978424391052</v>
      </c>
      <c r="AB159">
        <f t="shared" si="45"/>
        <v>46.395812209672478</v>
      </c>
      <c r="AC159">
        <f t="shared" si="46"/>
        <v>25.166827795986702</v>
      </c>
      <c r="AD159" t="s">
        <v>27</v>
      </c>
      <c r="AE159" t="s">
        <v>15</v>
      </c>
      <c r="AF159" t="s">
        <v>24</v>
      </c>
      <c r="AG159" t="s">
        <v>14</v>
      </c>
      <c r="AH159" t="s">
        <v>17</v>
      </c>
      <c r="AI159" t="s">
        <v>41</v>
      </c>
      <c r="AJ159" t="s">
        <v>17</v>
      </c>
      <c r="AK159" t="s">
        <v>17</v>
      </c>
      <c r="AL159" t="s">
        <v>17</v>
      </c>
      <c r="AM159">
        <f t="shared" si="47"/>
        <v>54.243748729416552</v>
      </c>
      <c r="AN159">
        <f t="shared" si="51"/>
        <v>4567.3358406180123</v>
      </c>
      <c r="AO159">
        <f t="shared" si="52"/>
        <v>1858.2435454360643</v>
      </c>
      <c r="AP159">
        <f t="shared" si="53"/>
        <v>1600.340516365115</v>
      </c>
      <c r="AQ159">
        <f t="shared" si="54"/>
        <v>685.06302093921533</v>
      </c>
      <c r="AR159">
        <f t="shared" si="55"/>
        <v>1108.7517788168327</v>
      </c>
      <c r="AS159">
        <f t="shared" si="56"/>
        <v>0.94083802966351493</v>
      </c>
      <c r="AT159">
        <f t="shared" si="57"/>
        <v>21.231342403735056</v>
      </c>
      <c r="AU159">
        <f t="shared" si="58"/>
        <v>14.626408610956871</v>
      </c>
      <c r="AV159">
        <f t="shared" si="59"/>
        <v>14.999182123785287</v>
      </c>
      <c r="AW159">
        <f t="shared" si="60"/>
        <v>35.038818519388116</v>
      </c>
      <c r="AX159">
        <f t="shared" si="61"/>
        <v>24.275678809439292</v>
      </c>
      <c r="AY159">
        <f t="shared" si="62"/>
        <v>2648.5329696916378</v>
      </c>
      <c r="AZ159">
        <f t="shared" si="63"/>
        <v>668.03720268347229</v>
      </c>
      <c r="BA159">
        <f t="shared" si="64"/>
        <v>45.76133360439114</v>
      </c>
      <c r="BB159" t="s">
        <v>16</v>
      </c>
      <c r="BC159" t="s">
        <v>16</v>
      </c>
      <c r="BD159">
        <v>424.09</v>
      </c>
      <c r="BE159">
        <v>196.76</v>
      </c>
      <c r="BF159">
        <v>106.73</v>
      </c>
      <c r="BG159">
        <v>90.04</v>
      </c>
      <c r="BH159">
        <v>3.99</v>
      </c>
      <c r="BI159">
        <v>1502762</v>
      </c>
      <c r="BJ159">
        <v>365628</v>
      </c>
      <c r="BK159">
        <v>134793</v>
      </c>
      <c r="BL159">
        <v>147864</v>
      </c>
      <c r="BM159">
        <v>15060</v>
      </c>
      <c r="BN159">
        <v>131443</v>
      </c>
      <c r="BO159">
        <v>20516</v>
      </c>
      <c r="BP159">
        <v>67347</v>
      </c>
      <c r="BQ159">
        <v>16018</v>
      </c>
      <c r="BR159">
        <v>602091</v>
      </c>
      <c r="BS159" t="s">
        <v>21</v>
      </c>
      <c r="BT159" t="s">
        <v>564</v>
      </c>
      <c r="BU159">
        <v>0</v>
      </c>
      <c r="BV159">
        <v>0.2</v>
      </c>
      <c r="BW159">
        <v>0</v>
      </c>
      <c r="BX159">
        <v>0</v>
      </c>
      <c r="BY159">
        <v>440.4</v>
      </c>
      <c r="BZ159">
        <v>442.2</v>
      </c>
      <c r="CA159">
        <v>1</v>
      </c>
      <c r="CB159">
        <v>1</v>
      </c>
      <c r="CC159">
        <v>0</v>
      </c>
      <c r="CD159">
        <f t="shared" si="65"/>
        <v>4.070556309362261E-3</v>
      </c>
      <c r="CE159">
        <v>1</v>
      </c>
    </row>
    <row r="160" spans="1:83" x14ac:dyDescent="0.4">
      <c r="A160" t="s">
        <v>1107</v>
      </c>
      <c r="B160" t="s">
        <v>34</v>
      </c>
      <c r="C160" t="s">
        <v>34</v>
      </c>
      <c r="D160" t="s">
        <v>34</v>
      </c>
      <c r="E160" t="s">
        <v>49</v>
      </c>
      <c r="F160" t="s">
        <v>32</v>
      </c>
      <c r="G160">
        <v>20</v>
      </c>
      <c r="H160">
        <v>42</v>
      </c>
      <c r="I160">
        <v>40</v>
      </c>
      <c r="J160">
        <f t="shared" si="48"/>
        <v>-20</v>
      </c>
      <c r="K160">
        <f t="shared" si="49"/>
        <v>2</v>
      </c>
      <c r="L160">
        <v>-22</v>
      </c>
      <c r="M160">
        <v>40.229999999999997</v>
      </c>
      <c r="N160" t="s">
        <v>566</v>
      </c>
      <c r="O160" t="s">
        <v>567</v>
      </c>
      <c r="P160" t="s">
        <v>13</v>
      </c>
      <c r="Q160">
        <v>0.4</v>
      </c>
      <c r="R160" t="s">
        <v>26</v>
      </c>
      <c r="S160" t="s">
        <v>15</v>
      </c>
      <c r="T160" t="s">
        <v>14</v>
      </c>
      <c r="U160">
        <v>0</v>
      </c>
      <c r="V160" t="s">
        <v>14</v>
      </c>
      <c r="W160">
        <v>0</v>
      </c>
      <c r="X160" t="s">
        <v>14</v>
      </c>
      <c r="Y160" t="s">
        <v>14</v>
      </c>
      <c r="Z160">
        <v>0</v>
      </c>
      <c r="AA160">
        <f t="shared" si="44"/>
        <v>773.19378798109381</v>
      </c>
      <c r="AB160">
        <f t="shared" si="45"/>
        <v>5.8744091829844693</v>
      </c>
      <c r="AC160">
        <f t="shared" si="46"/>
        <v>5.8068872383524646</v>
      </c>
      <c r="AD160" t="s">
        <v>36</v>
      </c>
      <c r="AE160" t="s">
        <v>15</v>
      </c>
      <c r="AF160" t="s">
        <v>18</v>
      </c>
      <c r="AG160" t="s">
        <v>14</v>
      </c>
      <c r="AH160" t="s">
        <v>14</v>
      </c>
      <c r="AI160" t="s">
        <v>14</v>
      </c>
      <c r="AJ160" t="s">
        <v>14</v>
      </c>
      <c r="AK160" t="s">
        <v>14</v>
      </c>
      <c r="AL160" t="s">
        <v>14</v>
      </c>
      <c r="AM160">
        <f t="shared" si="47"/>
        <v>98.850574712643677</v>
      </c>
      <c r="AN160">
        <f t="shared" si="51"/>
        <v>6114.9425287356325</v>
      </c>
      <c r="AO160">
        <f t="shared" si="52"/>
        <v>5295.4022988505749</v>
      </c>
      <c r="AP160">
        <f t="shared" si="53"/>
        <v>640.22988505747128</v>
      </c>
      <c r="AQ160">
        <f t="shared" si="54"/>
        <v>50.574712643678161</v>
      </c>
      <c r="AR160">
        <f t="shared" si="55"/>
        <v>179.31034482758622</v>
      </c>
      <c r="AS160">
        <f t="shared" si="56"/>
        <v>16.407832545577314</v>
      </c>
      <c r="AT160">
        <f t="shared" si="57"/>
        <v>6.7521944632005393E-2</v>
      </c>
      <c r="AU160">
        <f t="shared" si="58"/>
        <v>2.763157894736842</v>
      </c>
      <c r="AV160">
        <f t="shared" si="59"/>
        <v>0.82706766917293228</v>
      </c>
      <c r="AW160">
        <f t="shared" si="60"/>
        <v>10.469924812030076</v>
      </c>
      <c r="AX160">
        <f t="shared" si="61"/>
        <v>2.9323308270676693</v>
      </c>
      <c r="AY160">
        <f t="shared" si="62"/>
        <v>439.74175035868001</v>
      </c>
      <c r="AZ160">
        <f t="shared" si="63"/>
        <v>168.9655172413793</v>
      </c>
      <c r="BA160">
        <f t="shared" si="64"/>
        <v>1.1494252873563218</v>
      </c>
      <c r="BB160" t="s">
        <v>33</v>
      </c>
      <c r="BC160" t="s">
        <v>33</v>
      </c>
      <c r="BD160">
        <v>14.81</v>
      </c>
      <c r="BE160">
        <v>0.87</v>
      </c>
      <c r="BF160">
        <v>0.86</v>
      </c>
      <c r="BG160">
        <v>0.01</v>
      </c>
      <c r="BH160">
        <v>2.4300000000000002</v>
      </c>
      <c r="BI160">
        <v>11451</v>
      </c>
      <c r="BJ160">
        <v>4607</v>
      </c>
      <c r="BK160">
        <v>44</v>
      </c>
      <c r="BL160">
        <v>215</v>
      </c>
      <c r="BM160">
        <v>9</v>
      </c>
      <c r="BN160">
        <v>147</v>
      </c>
      <c r="BO160">
        <v>186</v>
      </c>
      <c r="BP160">
        <v>32</v>
      </c>
      <c r="BQ160">
        <v>80</v>
      </c>
      <c r="BR160">
        <v>6130</v>
      </c>
      <c r="BS160" t="s">
        <v>21</v>
      </c>
      <c r="BT160" t="s">
        <v>276</v>
      </c>
      <c r="BU160">
        <v>0</v>
      </c>
      <c r="BV160">
        <v>0</v>
      </c>
      <c r="BW160">
        <v>0</v>
      </c>
      <c r="BX160">
        <v>0</v>
      </c>
      <c r="BY160">
        <v>19.600000000000001</v>
      </c>
      <c r="BZ160">
        <v>19.7</v>
      </c>
      <c r="CA160">
        <v>0</v>
      </c>
      <c r="CB160">
        <v>0</v>
      </c>
      <c r="CC160">
        <v>0</v>
      </c>
      <c r="CD160">
        <f t="shared" si="65"/>
        <v>5.0761421319795996E-3</v>
      </c>
      <c r="CE160">
        <v>0</v>
      </c>
    </row>
    <row r="161" spans="1:83" x14ac:dyDescent="0.4">
      <c r="A161" t="s">
        <v>1108</v>
      </c>
      <c r="B161" t="s">
        <v>34</v>
      </c>
      <c r="C161" t="s">
        <v>34</v>
      </c>
      <c r="D161" t="s">
        <v>34</v>
      </c>
      <c r="E161" t="s">
        <v>49</v>
      </c>
      <c r="F161" t="s">
        <v>32</v>
      </c>
      <c r="G161">
        <v>60</v>
      </c>
      <c r="H161">
        <v>46</v>
      </c>
      <c r="I161">
        <v>33.5</v>
      </c>
      <c r="J161">
        <f t="shared" si="48"/>
        <v>26.5</v>
      </c>
      <c r="K161">
        <f t="shared" si="49"/>
        <v>12.5</v>
      </c>
      <c r="L161">
        <v>14</v>
      </c>
      <c r="M161">
        <v>33.619999999999997</v>
      </c>
      <c r="N161" t="s">
        <v>569</v>
      </c>
      <c r="O161" t="s">
        <v>570</v>
      </c>
      <c r="P161" t="s">
        <v>13</v>
      </c>
      <c r="Q161">
        <v>0.2</v>
      </c>
      <c r="R161" t="s">
        <v>26</v>
      </c>
      <c r="S161" t="s">
        <v>27</v>
      </c>
      <c r="T161" t="s">
        <v>14</v>
      </c>
      <c r="U161">
        <v>20</v>
      </c>
      <c r="V161" t="s">
        <v>17</v>
      </c>
      <c r="W161">
        <v>0</v>
      </c>
      <c r="X161" t="s">
        <v>14</v>
      </c>
      <c r="Y161" t="s">
        <v>14</v>
      </c>
      <c r="Z161">
        <v>10</v>
      </c>
      <c r="AA161">
        <f t="shared" si="44"/>
        <v>1990.1991614255767</v>
      </c>
      <c r="AB161">
        <f t="shared" si="45"/>
        <v>18.50104821802935</v>
      </c>
      <c r="AC161">
        <f t="shared" si="46"/>
        <v>16.037735849056606</v>
      </c>
      <c r="AD161" t="s">
        <v>36</v>
      </c>
      <c r="AE161" t="s">
        <v>15</v>
      </c>
      <c r="AF161" t="s">
        <v>18</v>
      </c>
      <c r="AG161" t="s">
        <v>14</v>
      </c>
      <c r="AH161" t="s">
        <v>14</v>
      </c>
      <c r="AI161" t="s">
        <v>14</v>
      </c>
      <c r="AJ161" t="s">
        <v>14</v>
      </c>
      <c r="AK161" t="s">
        <v>14</v>
      </c>
      <c r="AL161" t="s">
        <v>14</v>
      </c>
      <c r="AM161">
        <f t="shared" si="47"/>
        <v>86.685552407932022</v>
      </c>
      <c r="AN161">
        <f t="shared" si="51"/>
        <v>6092.0679886685557</v>
      </c>
      <c r="AO161">
        <f t="shared" si="52"/>
        <v>3616.1473087818699</v>
      </c>
      <c r="AP161">
        <f t="shared" si="53"/>
        <v>2221.2464589235128</v>
      </c>
      <c r="AQ161">
        <f t="shared" si="54"/>
        <v>118.9801699716714</v>
      </c>
      <c r="AR161">
        <f t="shared" si="55"/>
        <v>254.67422096317281</v>
      </c>
      <c r="AS161">
        <f t="shared" si="56"/>
        <v>23.060796645702311</v>
      </c>
      <c r="AT161">
        <f t="shared" si="57"/>
        <v>2.4633123689727467</v>
      </c>
      <c r="AU161">
        <f t="shared" si="58"/>
        <v>22.013485235991631</v>
      </c>
      <c r="AV161">
        <f t="shared" si="59"/>
        <v>1.9530341780981166</v>
      </c>
      <c r="AW161">
        <f t="shared" si="60"/>
        <v>36.461288072541272</v>
      </c>
      <c r="AX161">
        <f t="shared" si="61"/>
        <v>4.1804231574052544</v>
      </c>
      <c r="AY161">
        <f t="shared" si="62"/>
        <v>1057.170418006431</v>
      </c>
      <c r="AZ161">
        <f t="shared" si="63"/>
        <v>1341.0764872521247</v>
      </c>
      <c r="BA161">
        <f t="shared" si="64"/>
        <v>13.314447592067989</v>
      </c>
      <c r="BB161" t="s">
        <v>33</v>
      </c>
      <c r="BC161" t="s">
        <v>33</v>
      </c>
      <c r="BD161">
        <v>19.079999999999998</v>
      </c>
      <c r="BE161">
        <v>3.53</v>
      </c>
      <c r="BF161">
        <v>3.06</v>
      </c>
      <c r="BG161">
        <v>0.47</v>
      </c>
      <c r="BH161">
        <v>4.4000000000000004</v>
      </c>
      <c r="BI161">
        <v>37973</v>
      </c>
      <c r="BJ161">
        <v>12765</v>
      </c>
      <c r="BK161">
        <v>420</v>
      </c>
      <c r="BL161">
        <v>2435</v>
      </c>
      <c r="BM161">
        <v>290</v>
      </c>
      <c r="BN161">
        <v>4734</v>
      </c>
      <c r="BO161">
        <v>382</v>
      </c>
      <c r="BP161">
        <v>187</v>
      </c>
      <c r="BQ161">
        <v>292</v>
      </c>
      <c r="BR161">
        <v>16439</v>
      </c>
      <c r="BS161" t="s">
        <v>21</v>
      </c>
      <c r="BT161" t="s">
        <v>568</v>
      </c>
      <c r="BU161">
        <v>0</v>
      </c>
      <c r="BV161">
        <v>0.1</v>
      </c>
      <c r="BW161">
        <v>0</v>
      </c>
      <c r="BX161">
        <v>0.3</v>
      </c>
      <c r="BY161">
        <v>19.399999999999999</v>
      </c>
      <c r="BZ161">
        <v>19.5</v>
      </c>
      <c r="CA161">
        <v>0</v>
      </c>
      <c r="CB161">
        <v>0</v>
      </c>
      <c r="CC161">
        <v>0</v>
      </c>
      <c r="CD161">
        <f t="shared" si="65"/>
        <v>5.128205128205221E-3</v>
      </c>
      <c r="CE161">
        <v>0</v>
      </c>
    </row>
    <row r="162" spans="1:83" x14ac:dyDescent="0.4">
      <c r="A162" t="s">
        <v>1109</v>
      </c>
      <c r="B162" t="s">
        <v>43</v>
      </c>
      <c r="C162" t="s">
        <v>82</v>
      </c>
      <c r="D162" t="s">
        <v>82</v>
      </c>
      <c r="E162" t="s">
        <v>49</v>
      </c>
      <c r="F162" t="s">
        <v>22</v>
      </c>
      <c r="G162">
        <v>30</v>
      </c>
      <c r="H162">
        <v>63</v>
      </c>
      <c r="I162">
        <v>60.5</v>
      </c>
      <c r="J162">
        <f t="shared" si="48"/>
        <v>-30.5</v>
      </c>
      <c r="K162">
        <f t="shared" si="49"/>
        <v>2.5</v>
      </c>
      <c r="L162">
        <v>-33</v>
      </c>
      <c r="M162">
        <v>60.66</v>
      </c>
      <c r="N162" t="s">
        <v>573</v>
      </c>
      <c r="O162" t="s">
        <v>574</v>
      </c>
      <c r="P162" t="s">
        <v>13</v>
      </c>
      <c r="Q162">
        <v>0.5</v>
      </c>
      <c r="R162" t="s">
        <v>13</v>
      </c>
      <c r="S162" t="s">
        <v>15</v>
      </c>
      <c r="T162" t="s">
        <v>14</v>
      </c>
      <c r="U162">
        <v>2.5</v>
      </c>
      <c r="V162" t="s">
        <v>14</v>
      </c>
      <c r="W162">
        <f t="shared" si="50"/>
        <v>1</v>
      </c>
      <c r="X162" t="s">
        <v>14</v>
      </c>
      <c r="Y162" t="s">
        <v>14</v>
      </c>
      <c r="Z162">
        <v>0</v>
      </c>
      <c r="AA162">
        <f t="shared" si="44"/>
        <v>4090.7275320970043</v>
      </c>
      <c r="AB162">
        <f t="shared" si="45"/>
        <v>70.898716119828819</v>
      </c>
      <c r="AC162">
        <f t="shared" si="46"/>
        <v>30.813124108416549</v>
      </c>
      <c r="AD162" t="s">
        <v>15</v>
      </c>
      <c r="AE162" t="s">
        <v>37</v>
      </c>
      <c r="AF162" t="s">
        <v>24</v>
      </c>
      <c r="AG162" t="s">
        <v>14</v>
      </c>
      <c r="AH162" t="s">
        <v>14</v>
      </c>
      <c r="AI162" t="s">
        <v>18</v>
      </c>
      <c r="AJ162" t="s">
        <v>14</v>
      </c>
      <c r="AK162" t="s">
        <v>14</v>
      </c>
      <c r="AL162" t="s">
        <v>17</v>
      </c>
      <c r="AM162">
        <f t="shared" si="47"/>
        <v>43.460764587525155</v>
      </c>
      <c r="AN162">
        <f t="shared" si="51"/>
        <v>5669.2152917505036</v>
      </c>
      <c r="AO162">
        <f t="shared" si="52"/>
        <v>3500</v>
      </c>
      <c r="AP162">
        <f t="shared" si="53"/>
        <v>634.80885311871225</v>
      </c>
      <c r="AQ162">
        <f t="shared" si="54"/>
        <v>1150.1006036217304</v>
      </c>
      <c r="AR162">
        <f t="shared" si="55"/>
        <v>1534.4064386317909</v>
      </c>
      <c r="AS162">
        <f t="shared" si="56"/>
        <v>27.674750356633382</v>
      </c>
      <c r="AT162">
        <f t="shared" si="57"/>
        <v>40.085592011412267</v>
      </c>
      <c r="AU162">
        <f t="shared" si="58"/>
        <v>6.3351788756388414</v>
      </c>
      <c r="AV162">
        <f t="shared" si="59"/>
        <v>20.286768881317432</v>
      </c>
      <c r="AW162">
        <f t="shared" si="60"/>
        <v>11.197473026689382</v>
      </c>
      <c r="AX162">
        <f t="shared" si="61"/>
        <v>27.065587734241909</v>
      </c>
      <c r="AY162">
        <f t="shared" si="62"/>
        <v>230.88235294117646</v>
      </c>
      <c r="AZ162">
        <f t="shared" si="63"/>
        <v>359.15492957746483</v>
      </c>
      <c r="BA162">
        <f t="shared" si="64"/>
        <v>56.539235412474852</v>
      </c>
      <c r="BB162" t="s">
        <v>31</v>
      </c>
      <c r="BC162" t="s">
        <v>31</v>
      </c>
      <c r="BD162">
        <v>7.01</v>
      </c>
      <c r="BE162">
        <v>4.97</v>
      </c>
      <c r="BF162">
        <v>2.16</v>
      </c>
      <c r="BG162">
        <v>2.81</v>
      </c>
      <c r="BH162">
        <v>1.94</v>
      </c>
      <c r="BI162">
        <v>28676</v>
      </c>
      <c r="BJ162">
        <v>17395</v>
      </c>
      <c r="BK162">
        <v>5716</v>
      </c>
      <c r="BL162">
        <v>1011</v>
      </c>
      <c r="BM162">
        <v>186</v>
      </c>
      <c r="BN162">
        <v>1785</v>
      </c>
      <c r="BO162">
        <v>173</v>
      </c>
      <c r="BP162">
        <v>1409</v>
      </c>
      <c r="BQ162">
        <v>501</v>
      </c>
      <c r="BR162">
        <v>471</v>
      </c>
      <c r="BS162" t="s">
        <v>21</v>
      </c>
      <c r="BT162" t="s">
        <v>572</v>
      </c>
      <c r="BU162">
        <v>0</v>
      </c>
      <c r="BV162">
        <v>0</v>
      </c>
      <c r="BW162">
        <v>0</v>
      </c>
      <c r="BX162">
        <v>0.2</v>
      </c>
      <c r="BY162">
        <v>7.9</v>
      </c>
      <c r="BZ162">
        <v>8</v>
      </c>
      <c r="CA162">
        <v>2</v>
      </c>
      <c r="CB162">
        <v>2</v>
      </c>
      <c r="CC162">
        <v>0</v>
      </c>
      <c r="CD162">
        <f t="shared" si="65"/>
        <v>1.2499999999999956E-2</v>
      </c>
      <c r="CE162">
        <v>1</v>
      </c>
    </row>
    <row r="163" spans="1:83" x14ac:dyDescent="0.4">
      <c r="A163" t="s">
        <v>1110</v>
      </c>
      <c r="B163" t="s">
        <v>34</v>
      </c>
      <c r="C163" t="s">
        <v>34</v>
      </c>
      <c r="D163" t="s">
        <v>34</v>
      </c>
      <c r="E163" t="s">
        <v>49</v>
      </c>
      <c r="F163" t="s">
        <v>32</v>
      </c>
      <c r="G163">
        <v>70</v>
      </c>
      <c r="H163">
        <v>99</v>
      </c>
      <c r="I163">
        <v>53</v>
      </c>
      <c r="J163">
        <f t="shared" si="48"/>
        <v>17</v>
      </c>
      <c r="K163">
        <f t="shared" si="49"/>
        <v>46</v>
      </c>
      <c r="L163">
        <v>-29</v>
      </c>
      <c r="M163">
        <v>53.17</v>
      </c>
      <c r="N163" t="s">
        <v>575</v>
      </c>
      <c r="O163" t="s">
        <v>576</v>
      </c>
      <c r="P163" t="s">
        <v>13</v>
      </c>
      <c r="Q163">
        <v>0.1</v>
      </c>
      <c r="R163" t="s">
        <v>26</v>
      </c>
      <c r="S163" t="s">
        <v>15</v>
      </c>
      <c r="T163" t="s">
        <v>14</v>
      </c>
      <c r="U163">
        <v>15</v>
      </c>
      <c r="V163" t="s">
        <v>17</v>
      </c>
      <c r="W163">
        <v>0</v>
      </c>
      <c r="X163" t="s">
        <v>14</v>
      </c>
      <c r="Y163" t="s">
        <v>14</v>
      </c>
      <c r="Z163">
        <v>20</v>
      </c>
      <c r="AA163">
        <f t="shared" si="44"/>
        <v>840.07111597374171</v>
      </c>
      <c r="AB163">
        <f t="shared" si="45"/>
        <v>9.2997811816192559</v>
      </c>
      <c r="AC163">
        <f t="shared" si="46"/>
        <v>8.8894967177242883</v>
      </c>
      <c r="AD163" t="s">
        <v>27</v>
      </c>
      <c r="AE163" t="s">
        <v>15</v>
      </c>
      <c r="AF163" t="s">
        <v>18</v>
      </c>
      <c r="AG163" t="s">
        <v>14</v>
      </c>
      <c r="AH163" t="s">
        <v>14</v>
      </c>
      <c r="AI163" t="s">
        <v>14</v>
      </c>
      <c r="AJ163" t="s">
        <v>14</v>
      </c>
      <c r="AK163" t="s">
        <v>14</v>
      </c>
      <c r="AL163" t="s">
        <v>14</v>
      </c>
      <c r="AM163">
        <f t="shared" si="47"/>
        <v>95.588235294117652</v>
      </c>
      <c r="AN163">
        <f t="shared" si="51"/>
        <v>8675.5882352941171</v>
      </c>
      <c r="AO163">
        <f t="shared" si="52"/>
        <v>4802.9411764705883</v>
      </c>
      <c r="AP163">
        <f t="shared" si="53"/>
        <v>2102.9411764705883</v>
      </c>
      <c r="AQ163">
        <f t="shared" si="54"/>
        <v>61.470588235294116</v>
      </c>
      <c r="AR163">
        <f t="shared" si="55"/>
        <v>1769.7058823529412</v>
      </c>
      <c r="AS163">
        <f t="shared" si="56"/>
        <v>89.168490153172854</v>
      </c>
      <c r="AT163">
        <f t="shared" si="57"/>
        <v>0.41028446389496714</v>
      </c>
      <c r="AU163">
        <f t="shared" si="58"/>
        <v>18.42899277892667</v>
      </c>
      <c r="AV163">
        <f t="shared" si="59"/>
        <v>0.70854663186086719</v>
      </c>
      <c r="AW163">
        <f t="shared" si="60"/>
        <v>24.239753195240194</v>
      </c>
      <c r="AX163">
        <f t="shared" si="61"/>
        <v>20.39868461199444</v>
      </c>
      <c r="AY163">
        <f t="shared" si="62"/>
        <v>36.338962605548851</v>
      </c>
      <c r="AZ163">
        <f t="shared" si="63"/>
        <v>1598.8235294117646</v>
      </c>
      <c r="BA163">
        <f t="shared" si="64"/>
        <v>4.4117647058823533</v>
      </c>
      <c r="BB163" t="s">
        <v>33</v>
      </c>
      <c r="BC163" t="s">
        <v>33</v>
      </c>
      <c r="BD163">
        <v>36.56</v>
      </c>
      <c r="BE163">
        <v>3.4</v>
      </c>
      <c r="BF163">
        <v>3.25</v>
      </c>
      <c r="BG163">
        <v>0.15</v>
      </c>
      <c r="BH163">
        <v>32.6</v>
      </c>
      <c r="BI163">
        <v>30713</v>
      </c>
      <c r="BJ163">
        <v>16330</v>
      </c>
      <c r="BK163">
        <v>209</v>
      </c>
      <c r="BL163">
        <v>885</v>
      </c>
      <c r="BM163">
        <v>382</v>
      </c>
      <c r="BN163">
        <v>5436</v>
      </c>
      <c r="BO163">
        <v>447</v>
      </c>
      <c r="BP163">
        <v>23</v>
      </c>
      <c r="BQ163">
        <v>5785</v>
      </c>
      <c r="BR163">
        <v>1205</v>
      </c>
      <c r="BS163" t="s">
        <v>21</v>
      </c>
      <c r="BT163" t="s">
        <v>259</v>
      </c>
      <c r="BU163">
        <v>0</v>
      </c>
      <c r="BV163">
        <v>0</v>
      </c>
      <c r="BW163">
        <v>0</v>
      </c>
      <c r="BX163">
        <v>0.2</v>
      </c>
      <c r="BY163">
        <v>36.9</v>
      </c>
      <c r="BZ163">
        <v>37.1</v>
      </c>
      <c r="CA163">
        <v>0</v>
      </c>
      <c r="CB163">
        <v>0</v>
      </c>
      <c r="CC163">
        <v>0</v>
      </c>
      <c r="CD163">
        <f t="shared" si="65"/>
        <v>5.3908355795149188E-3</v>
      </c>
      <c r="CE163">
        <v>0</v>
      </c>
    </row>
    <row r="164" spans="1:83" x14ac:dyDescent="0.4">
      <c r="A164" t="s">
        <v>1111</v>
      </c>
      <c r="B164" t="s">
        <v>42</v>
      </c>
      <c r="C164" t="s">
        <v>82</v>
      </c>
      <c r="D164" t="s">
        <v>82</v>
      </c>
      <c r="E164" t="s">
        <v>49</v>
      </c>
      <c r="F164" t="s">
        <v>12</v>
      </c>
      <c r="G164">
        <v>50</v>
      </c>
      <c r="H164">
        <v>64</v>
      </c>
      <c r="I164">
        <v>67.5</v>
      </c>
      <c r="J164">
        <f t="shared" si="48"/>
        <v>-17.5</v>
      </c>
      <c r="K164">
        <f t="shared" si="49"/>
        <v>-3.5</v>
      </c>
      <c r="L164">
        <v>-14</v>
      </c>
      <c r="M164">
        <v>67.28</v>
      </c>
      <c r="N164" t="s">
        <v>578</v>
      </c>
      <c r="O164" t="s">
        <v>579</v>
      </c>
      <c r="P164" t="s">
        <v>13</v>
      </c>
      <c r="Q164">
        <v>0.1</v>
      </c>
      <c r="R164" t="s">
        <v>13</v>
      </c>
      <c r="S164" t="s">
        <v>15</v>
      </c>
      <c r="T164" t="s">
        <v>14</v>
      </c>
      <c r="U164">
        <v>0</v>
      </c>
      <c r="V164" t="s">
        <v>14</v>
      </c>
      <c r="W164">
        <f t="shared" si="50"/>
        <v>1</v>
      </c>
      <c r="X164" t="s">
        <v>14</v>
      </c>
      <c r="Y164" t="s">
        <v>14</v>
      </c>
      <c r="Z164">
        <v>0</v>
      </c>
      <c r="AA164">
        <f t="shared" si="44"/>
        <v>3690.2359261854704</v>
      </c>
      <c r="AB164">
        <f t="shared" si="45"/>
        <v>89.117288276363254</v>
      </c>
      <c r="AC164">
        <f t="shared" si="46"/>
        <v>61.320044641698459</v>
      </c>
      <c r="AD164" t="s">
        <v>27</v>
      </c>
      <c r="AE164" t="s">
        <v>27</v>
      </c>
      <c r="AF164" t="s">
        <v>18</v>
      </c>
      <c r="AG164" t="s">
        <v>14</v>
      </c>
      <c r="AH164" t="s">
        <v>14</v>
      </c>
      <c r="AI164" t="s">
        <v>18</v>
      </c>
      <c r="AJ164" t="s">
        <v>14</v>
      </c>
      <c r="AK164" t="s">
        <v>14</v>
      </c>
      <c r="AL164" t="s">
        <v>14</v>
      </c>
      <c r="AM164">
        <f t="shared" si="47"/>
        <v>68.808247903075483</v>
      </c>
      <c r="AN164">
        <f t="shared" si="51"/>
        <v>4021.872087604846</v>
      </c>
      <c r="AO164">
        <f t="shared" si="52"/>
        <v>2786.0088536812673</v>
      </c>
      <c r="AP164">
        <f t="shared" si="53"/>
        <v>752.71726467847157</v>
      </c>
      <c r="AQ164">
        <f t="shared" si="54"/>
        <v>363.68534482758622</v>
      </c>
      <c r="AR164">
        <f t="shared" si="55"/>
        <v>483.14596924510715</v>
      </c>
      <c r="AS164">
        <f t="shared" si="56"/>
        <v>6.7507591684185932</v>
      </c>
      <c r="AT164">
        <f t="shared" si="57"/>
        <v>27.797243634664795</v>
      </c>
      <c r="AU164">
        <f t="shared" si="58"/>
        <v>9.379267895289475</v>
      </c>
      <c r="AV164">
        <f t="shared" si="59"/>
        <v>9.0426880046344902</v>
      </c>
      <c r="AW164">
        <f t="shared" si="60"/>
        <v>18.715594337231614</v>
      </c>
      <c r="AX164">
        <f t="shared" si="61"/>
        <v>12.01296209131395</v>
      </c>
      <c r="AY164">
        <f t="shared" si="62"/>
        <v>960.72024803243482</v>
      </c>
      <c r="AZ164">
        <f t="shared" si="63"/>
        <v>377.22215750232988</v>
      </c>
      <c r="BA164">
        <f t="shared" si="64"/>
        <v>31.19175209692451</v>
      </c>
      <c r="BB164" t="s">
        <v>50</v>
      </c>
      <c r="BC164" t="s">
        <v>50</v>
      </c>
      <c r="BD164">
        <v>385.29</v>
      </c>
      <c r="BE164">
        <v>343.36</v>
      </c>
      <c r="BF164">
        <v>236.26</v>
      </c>
      <c r="BG164">
        <v>107.1</v>
      </c>
      <c r="BH164">
        <v>26.01</v>
      </c>
      <c r="BI164">
        <v>1421811</v>
      </c>
      <c r="BJ164">
        <v>956604</v>
      </c>
      <c r="BK164">
        <v>124875</v>
      </c>
      <c r="BL164">
        <v>78927</v>
      </c>
      <c r="BM164">
        <v>39365</v>
      </c>
      <c r="BN164">
        <v>129523</v>
      </c>
      <c r="BO164">
        <v>10638</v>
      </c>
      <c r="BP164">
        <v>29094</v>
      </c>
      <c r="BQ164">
        <v>11924</v>
      </c>
      <c r="BR164">
        <v>40283</v>
      </c>
      <c r="BS164" t="s">
        <v>21</v>
      </c>
      <c r="BT164" t="s">
        <v>577</v>
      </c>
      <c r="BU164">
        <v>0.1</v>
      </c>
      <c r="BV164">
        <v>0</v>
      </c>
      <c r="BW164">
        <v>0</v>
      </c>
      <c r="BX164">
        <v>0.1</v>
      </c>
      <c r="BY164">
        <v>407</v>
      </c>
      <c r="BZ164">
        <v>407.9</v>
      </c>
      <c r="CA164">
        <v>7</v>
      </c>
      <c r="CB164">
        <v>7</v>
      </c>
      <c r="CC164">
        <v>0</v>
      </c>
      <c r="CD164">
        <f t="shared" si="65"/>
        <v>2.206423142927183E-3</v>
      </c>
      <c r="CE164">
        <v>1</v>
      </c>
    </row>
    <row r="165" spans="1:83" x14ac:dyDescent="0.4">
      <c r="A165" t="s">
        <v>1112</v>
      </c>
      <c r="B165" t="s">
        <v>34</v>
      </c>
      <c r="C165" t="s">
        <v>34</v>
      </c>
      <c r="D165" t="s">
        <v>34</v>
      </c>
      <c r="E165" t="s">
        <v>49</v>
      </c>
      <c r="F165" t="s">
        <v>32</v>
      </c>
      <c r="G165">
        <v>80</v>
      </c>
      <c r="H165">
        <v>80</v>
      </c>
      <c r="I165">
        <v>49</v>
      </c>
      <c r="J165">
        <f t="shared" si="48"/>
        <v>31</v>
      </c>
      <c r="K165">
        <f t="shared" si="49"/>
        <v>31</v>
      </c>
      <c r="L165">
        <v>0</v>
      </c>
      <c r="M165">
        <v>48.88</v>
      </c>
      <c r="N165" t="s">
        <v>581</v>
      </c>
      <c r="O165" t="s">
        <v>582</v>
      </c>
      <c r="P165" t="s">
        <v>13</v>
      </c>
      <c r="Q165">
        <v>0.2</v>
      </c>
      <c r="R165" t="s">
        <v>26</v>
      </c>
      <c r="S165" t="s">
        <v>27</v>
      </c>
      <c r="T165" t="s">
        <v>14</v>
      </c>
      <c r="U165">
        <v>0</v>
      </c>
      <c r="V165" t="s">
        <v>14</v>
      </c>
      <c r="W165">
        <v>0</v>
      </c>
      <c r="X165" t="s">
        <v>14</v>
      </c>
      <c r="Y165" t="s">
        <v>14</v>
      </c>
      <c r="Z165">
        <v>0</v>
      </c>
      <c r="AA165">
        <f t="shared" si="44"/>
        <v>268.32965821389195</v>
      </c>
      <c r="AB165">
        <f t="shared" si="45"/>
        <v>7.524807056229327</v>
      </c>
      <c r="AC165">
        <f t="shared" si="46"/>
        <v>7.4972436604189632</v>
      </c>
      <c r="AD165" t="s">
        <v>36</v>
      </c>
      <c r="AE165" t="s">
        <v>15</v>
      </c>
      <c r="AF165" t="s">
        <v>18</v>
      </c>
      <c r="AG165" t="s">
        <v>14</v>
      </c>
      <c r="AH165" t="s">
        <v>14</v>
      </c>
      <c r="AI165" t="s">
        <v>14</v>
      </c>
      <c r="AJ165" t="s">
        <v>14</v>
      </c>
      <c r="AK165" t="s">
        <v>14</v>
      </c>
      <c r="AL165" t="s">
        <v>14</v>
      </c>
      <c r="AM165">
        <f t="shared" si="47"/>
        <v>99.633699633699635</v>
      </c>
      <c r="AN165">
        <f t="shared" si="51"/>
        <v>2364.4688644688645</v>
      </c>
      <c r="AO165">
        <f t="shared" si="52"/>
        <v>1742.8571428571429</v>
      </c>
      <c r="AP165">
        <f t="shared" si="53"/>
        <v>455.67765567765571</v>
      </c>
      <c r="AQ165">
        <f t="shared" si="54"/>
        <v>29.670329670329672</v>
      </c>
      <c r="AR165">
        <f t="shared" si="55"/>
        <v>165.93406593406593</v>
      </c>
      <c r="AS165">
        <f t="shared" si="56"/>
        <v>84.178610804851161</v>
      </c>
      <c r="AT165">
        <f t="shared" si="57"/>
        <v>5.5126791620727672E-2</v>
      </c>
      <c r="AU165">
        <f t="shared" si="58"/>
        <v>1.3323005422153369</v>
      </c>
      <c r="AV165">
        <f t="shared" si="59"/>
        <v>1.254841208365608</v>
      </c>
      <c r="AW165">
        <f t="shared" si="60"/>
        <v>19.27188226181255</v>
      </c>
      <c r="AX165">
        <f t="shared" si="61"/>
        <v>7.0178156467854373</v>
      </c>
      <c r="AY165">
        <f t="shared" si="62"/>
        <v>97.734724292101333</v>
      </c>
      <c r="AZ165">
        <f t="shared" si="63"/>
        <v>31.501831501831504</v>
      </c>
      <c r="BA165">
        <f t="shared" si="64"/>
        <v>0.73260073260073255</v>
      </c>
      <c r="BB165" t="s">
        <v>33</v>
      </c>
      <c r="BC165" t="s">
        <v>33</v>
      </c>
      <c r="BD165">
        <v>36.28</v>
      </c>
      <c r="BE165">
        <v>2.73</v>
      </c>
      <c r="BF165">
        <v>2.72</v>
      </c>
      <c r="BG165">
        <v>0.02</v>
      </c>
      <c r="BH165">
        <v>30.54</v>
      </c>
      <c r="BI165">
        <v>9735</v>
      </c>
      <c r="BJ165">
        <v>4758</v>
      </c>
      <c r="BK165">
        <v>81</v>
      </c>
      <c r="BL165">
        <v>1097</v>
      </c>
      <c r="BM165">
        <v>3</v>
      </c>
      <c r="BN165">
        <v>86</v>
      </c>
      <c r="BO165">
        <v>58</v>
      </c>
      <c r="BP165">
        <v>39</v>
      </c>
      <c r="BQ165">
        <v>333</v>
      </c>
      <c r="BR165">
        <v>3279</v>
      </c>
      <c r="BS165" t="s">
        <v>44</v>
      </c>
      <c r="BT165" t="s">
        <v>580</v>
      </c>
      <c r="BU165">
        <v>0</v>
      </c>
      <c r="BV165">
        <v>0</v>
      </c>
      <c r="BW165">
        <v>0</v>
      </c>
      <c r="BX165">
        <v>0</v>
      </c>
      <c r="BY165">
        <v>43.7</v>
      </c>
      <c r="BZ165">
        <v>43.8</v>
      </c>
      <c r="CA165">
        <v>0</v>
      </c>
      <c r="CB165">
        <v>0</v>
      </c>
      <c r="CC165">
        <v>0</v>
      </c>
      <c r="CD165">
        <f t="shared" si="65"/>
        <v>2.2831050228309113E-3</v>
      </c>
      <c r="CE165">
        <v>0</v>
      </c>
    </row>
    <row r="166" spans="1:83" x14ac:dyDescent="0.4">
      <c r="A166" t="s">
        <v>1113</v>
      </c>
      <c r="B166" t="s">
        <v>43</v>
      </c>
      <c r="C166" t="s">
        <v>82</v>
      </c>
      <c r="D166" t="s">
        <v>82</v>
      </c>
      <c r="E166" t="s">
        <v>49</v>
      </c>
      <c r="F166" t="s">
        <v>22</v>
      </c>
      <c r="G166">
        <v>30</v>
      </c>
      <c r="H166">
        <v>31</v>
      </c>
      <c r="I166">
        <v>12</v>
      </c>
      <c r="J166">
        <f t="shared" si="48"/>
        <v>18</v>
      </c>
      <c r="K166">
        <f t="shared" si="49"/>
        <v>19</v>
      </c>
      <c r="L166">
        <v>-1</v>
      </c>
      <c r="M166">
        <v>12.23</v>
      </c>
      <c r="N166" t="s">
        <v>583</v>
      </c>
      <c r="O166" t="s">
        <v>584</v>
      </c>
      <c r="P166" t="s">
        <v>26</v>
      </c>
      <c r="Q166">
        <v>0.3</v>
      </c>
      <c r="R166" t="s">
        <v>13</v>
      </c>
      <c r="S166" t="s">
        <v>15</v>
      </c>
      <c r="T166" t="s">
        <v>14</v>
      </c>
      <c r="U166">
        <v>2.5</v>
      </c>
      <c r="V166" t="s">
        <v>14</v>
      </c>
      <c r="W166">
        <f t="shared" si="50"/>
        <v>1</v>
      </c>
      <c r="X166" t="s">
        <v>14</v>
      </c>
      <c r="Y166" t="s">
        <v>14</v>
      </c>
      <c r="Z166">
        <v>0</v>
      </c>
      <c r="AA166">
        <f t="shared" si="44"/>
        <v>1635.4066985645934</v>
      </c>
      <c r="AB166">
        <f t="shared" si="45"/>
        <v>26.076555023923451</v>
      </c>
      <c r="AC166">
        <f t="shared" si="46"/>
        <v>13.397129186602873</v>
      </c>
      <c r="AD166" t="s">
        <v>15</v>
      </c>
      <c r="AE166" t="s">
        <v>27</v>
      </c>
      <c r="AF166" t="s">
        <v>24</v>
      </c>
      <c r="AG166" t="s">
        <v>14</v>
      </c>
      <c r="AH166" t="s">
        <v>14</v>
      </c>
      <c r="AI166" t="s">
        <v>18</v>
      </c>
      <c r="AJ166" t="s">
        <v>14</v>
      </c>
      <c r="AK166" t="s">
        <v>14</v>
      </c>
      <c r="AL166" t="s">
        <v>14</v>
      </c>
      <c r="AM166">
        <f t="shared" si="47"/>
        <v>51.37614678899083</v>
      </c>
      <c r="AN166">
        <f t="shared" si="51"/>
        <v>3126.6055045871558</v>
      </c>
      <c r="AO166">
        <f t="shared" si="52"/>
        <v>766.97247706422013</v>
      </c>
      <c r="AP166">
        <f t="shared" si="53"/>
        <v>685.32110091743118</v>
      </c>
      <c r="AQ166">
        <f t="shared" si="54"/>
        <v>1322.9357798165136</v>
      </c>
      <c r="AR166">
        <f t="shared" si="55"/>
        <v>1674.3119266055044</v>
      </c>
      <c r="AS166">
        <f t="shared" si="56"/>
        <v>7.4162679425837323</v>
      </c>
      <c r="AT166">
        <f t="shared" si="57"/>
        <v>12.679425837320576</v>
      </c>
      <c r="AU166">
        <f t="shared" si="58"/>
        <v>12.206572769953052</v>
      </c>
      <c r="AV166">
        <f t="shared" si="59"/>
        <v>42.312206572769952</v>
      </c>
      <c r="AW166">
        <f t="shared" si="60"/>
        <v>21.919014084507044</v>
      </c>
      <c r="AX166">
        <f t="shared" si="61"/>
        <v>53.550469483568072</v>
      </c>
      <c r="AY166">
        <f t="shared" si="62"/>
        <v>1107.7669902912621</v>
      </c>
      <c r="AZ166">
        <f t="shared" si="63"/>
        <v>381.65137614678895</v>
      </c>
      <c r="BA166">
        <f t="shared" si="64"/>
        <v>48.62385321100917</v>
      </c>
      <c r="BB166" t="s">
        <v>31</v>
      </c>
      <c r="BC166" t="s">
        <v>31</v>
      </c>
      <c r="BD166">
        <v>4.18</v>
      </c>
      <c r="BE166">
        <v>1.0900000000000001</v>
      </c>
      <c r="BF166">
        <v>0.56000000000000005</v>
      </c>
      <c r="BG166">
        <v>0.53</v>
      </c>
      <c r="BH166">
        <v>0.31</v>
      </c>
      <c r="BI166">
        <v>6836</v>
      </c>
      <c r="BJ166">
        <v>836</v>
      </c>
      <c r="BK166">
        <v>1442</v>
      </c>
      <c r="BL166">
        <v>236</v>
      </c>
      <c r="BM166">
        <v>35</v>
      </c>
      <c r="BN166">
        <v>416</v>
      </c>
      <c r="BO166">
        <v>60</v>
      </c>
      <c r="BP166">
        <v>278</v>
      </c>
      <c r="BQ166">
        <v>105</v>
      </c>
      <c r="BR166">
        <v>3423</v>
      </c>
      <c r="BS166" t="s">
        <v>21</v>
      </c>
      <c r="BT166" t="s">
        <v>383</v>
      </c>
      <c r="BU166">
        <v>0</v>
      </c>
      <c r="BV166">
        <v>0.4</v>
      </c>
      <c r="BW166">
        <v>0</v>
      </c>
      <c r="BX166">
        <v>0.3</v>
      </c>
      <c r="BY166">
        <v>5.9</v>
      </c>
      <c r="BZ166">
        <v>5.9</v>
      </c>
      <c r="CA166">
        <v>2</v>
      </c>
      <c r="CB166">
        <v>2</v>
      </c>
      <c r="CC166">
        <v>0</v>
      </c>
      <c r="CD166">
        <f t="shared" si="65"/>
        <v>0</v>
      </c>
      <c r="CE166">
        <v>1</v>
      </c>
    </row>
    <row r="167" spans="1:83" x14ac:dyDescent="0.4">
      <c r="A167" t="s">
        <v>1114</v>
      </c>
      <c r="B167" t="s">
        <v>34</v>
      </c>
      <c r="C167" t="s">
        <v>34</v>
      </c>
      <c r="D167" t="s">
        <v>34</v>
      </c>
      <c r="E167" t="s">
        <v>49</v>
      </c>
      <c r="F167" t="s">
        <v>32</v>
      </c>
      <c r="G167">
        <v>70</v>
      </c>
      <c r="H167">
        <v>81</v>
      </c>
      <c r="I167">
        <v>81.5</v>
      </c>
      <c r="J167">
        <f t="shared" si="48"/>
        <v>-11.5</v>
      </c>
      <c r="K167">
        <f t="shared" si="49"/>
        <v>-0.5</v>
      </c>
      <c r="L167">
        <v>-11</v>
      </c>
      <c r="M167">
        <v>81.510000000000005</v>
      </c>
      <c r="N167" t="s">
        <v>586</v>
      </c>
      <c r="O167" t="s">
        <v>587</v>
      </c>
      <c r="P167" t="s">
        <v>13</v>
      </c>
      <c r="Q167">
        <v>0.2</v>
      </c>
      <c r="R167" t="s">
        <v>26</v>
      </c>
      <c r="S167" t="s">
        <v>15</v>
      </c>
      <c r="T167" t="s">
        <v>14</v>
      </c>
      <c r="U167">
        <v>0</v>
      </c>
      <c r="V167" t="s">
        <v>14</v>
      </c>
      <c r="W167">
        <v>0</v>
      </c>
      <c r="X167" t="s">
        <v>14</v>
      </c>
      <c r="Y167" t="s">
        <v>14</v>
      </c>
      <c r="Z167">
        <v>0</v>
      </c>
      <c r="AA167">
        <f t="shared" si="44"/>
        <v>493.22638146167566</v>
      </c>
      <c r="AB167">
        <f t="shared" si="45"/>
        <v>16.874628639334524</v>
      </c>
      <c r="AC167">
        <f t="shared" si="46"/>
        <v>16.339869281045754</v>
      </c>
      <c r="AD167" t="s">
        <v>15</v>
      </c>
      <c r="AE167" t="s">
        <v>15</v>
      </c>
      <c r="AF167" t="s">
        <v>18</v>
      </c>
      <c r="AG167" t="s">
        <v>14</v>
      </c>
      <c r="AH167" t="s">
        <v>14</v>
      </c>
      <c r="AI167" t="s">
        <v>14</v>
      </c>
      <c r="AJ167" t="s">
        <v>14</v>
      </c>
      <c r="AK167" t="s">
        <v>14</v>
      </c>
      <c r="AL167" t="s">
        <v>14</v>
      </c>
      <c r="AM167">
        <f t="shared" si="47"/>
        <v>96.83098591549296</v>
      </c>
      <c r="AN167">
        <f t="shared" si="51"/>
        <v>2701.4084507042253</v>
      </c>
      <c r="AO167">
        <f t="shared" si="52"/>
        <v>2382.3943661971834</v>
      </c>
      <c r="AP167">
        <f t="shared" si="53"/>
        <v>236.26760563380282</v>
      </c>
      <c r="AQ167">
        <f t="shared" si="54"/>
        <v>44.366197183098592</v>
      </c>
      <c r="AR167">
        <f t="shared" si="55"/>
        <v>82.74647887323944</v>
      </c>
      <c r="AS167">
        <f t="shared" si="56"/>
        <v>75.401069518716582</v>
      </c>
      <c r="AT167">
        <f t="shared" si="57"/>
        <v>0.59417706476530008</v>
      </c>
      <c r="AU167">
        <f t="shared" si="58"/>
        <v>2.724191866527633</v>
      </c>
      <c r="AV167">
        <f t="shared" si="59"/>
        <v>1.6423357664233578</v>
      </c>
      <c r="AW167">
        <f t="shared" si="60"/>
        <v>8.7460896767466103</v>
      </c>
      <c r="AX167">
        <f t="shared" si="61"/>
        <v>3.0630865484880085</v>
      </c>
      <c r="AY167">
        <f t="shared" si="62"/>
        <v>44.889206576125808</v>
      </c>
      <c r="AZ167">
        <f t="shared" si="63"/>
        <v>73.591549295774655</v>
      </c>
      <c r="BA167">
        <f t="shared" si="64"/>
        <v>3.5211267605633805</v>
      </c>
      <c r="BB167" t="s">
        <v>33</v>
      </c>
      <c r="BC167" t="s">
        <v>33</v>
      </c>
      <c r="BD167">
        <v>16.829999999999998</v>
      </c>
      <c r="BE167">
        <v>2.84</v>
      </c>
      <c r="BF167">
        <v>2.75</v>
      </c>
      <c r="BG167">
        <v>0.1</v>
      </c>
      <c r="BH167">
        <v>12.69</v>
      </c>
      <c r="BI167">
        <v>8301</v>
      </c>
      <c r="BJ167">
        <v>6766</v>
      </c>
      <c r="BK167">
        <v>126</v>
      </c>
      <c r="BL167">
        <v>403</v>
      </c>
      <c r="BM167">
        <v>18</v>
      </c>
      <c r="BN167">
        <v>209</v>
      </c>
      <c r="BO167">
        <v>41</v>
      </c>
      <c r="BP167">
        <v>25</v>
      </c>
      <c r="BQ167">
        <v>84</v>
      </c>
      <c r="BR167">
        <v>628</v>
      </c>
      <c r="BS167" t="s">
        <v>21</v>
      </c>
      <c r="BT167" t="s">
        <v>585</v>
      </c>
      <c r="BU167">
        <v>0</v>
      </c>
      <c r="BV167">
        <v>0</v>
      </c>
      <c r="BW167">
        <v>0</v>
      </c>
      <c r="BX167">
        <v>0</v>
      </c>
      <c r="BY167">
        <v>18.5</v>
      </c>
      <c r="BZ167">
        <v>18.5</v>
      </c>
      <c r="CA167">
        <v>0</v>
      </c>
      <c r="CB167">
        <v>0</v>
      </c>
      <c r="CC167">
        <v>0</v>
      </c>
      <c r="CD167">
        <f t="shared" si="65"/>
        <v>0</v>
      </c>
      <c r="CE167">
        <v>0</v>
      </c>
    </row>
    <row r="168" spans="1:83" x14ac:dyDescent="0.4">
      <c r="A168" t="s">
        <v>1115</v>
      </c>
      <c r="B168" t="s">
        <v>64</v>
      </c>
      <c r="C168" t="s">
        <v>82</v>
      </c>
      <c r="D168" t="s">
        <v>82</v>
      </c>
      <c r="E168" t="s">
        <v>49</v>
      </c>
      <c r="F168" t="s">
        <v>32</v>
      </c>
      <c r="G168">
        <v>25</v>
      </c>
      <c r="H168">
        <v>10</v>
      </c>
      <c r="I168">
        <v>6.5</v>
      </c>
      <c r="J168">
        <f t="shared" si="48"/>
        <v>18.5</v>
      </c>
      <c r="K168">
        <f t="shared" si="49"/>
        <v>3.5</v>
      </c>
      <c r="L168">
        <v>15</v>
      </c>
      <c r="M168">
        <v>6.66</v>
      </c>
      <c r="N168" t="s">
        <v>589</v>
      </c>
      <c r="O168" t="s">
        <v>590</v>
      </c>
      <c r="P168" t="s">
        <v>13</v>
      </c>
      <c r="Q168">
        <v>0</v>
      </c>
      <c r="R168" t="s">
        <v>13</v>
      </c>
      <c r="S168" t="s">
        <v>15</v>
      </c>
      <c r="T168" t="s">
        <v>14</v>
      </c>
      <c r="U168">
        <v>0</v>
      </c>
      <c r="V168" t="s">
        <v>14</v>
      </c>
      <c r="W168">
        <v>0</v>
      </c>
      <c r="X168" t="s">
        <v>14</v>
      </c>
      <c r="Y168" t="s">
        <v>14</v>
      </c>
      <c r="Z168">
        <v>0</v>
      </c>
      <c r="AA168">
        <f t="shared" si="44"/>
        <v>9049.3594742118748</v>
      </c>
      <c r="AB168">
        <f t="shared" si="45"/>
        <v>85.607664030299645</v>
      </c>
      <c r="AC168">
        <f t="shared" si="46"/>
        <v>32.215662247967032</v>
      </c>
      <c r="AD168" t="s">
        <v>37</v>
      </c>
      <c r="AE168" t="s">
        <v>15</v>
      </c>
      <c r="AF168" t="s">
        <v>18</v>
      </c>
      <c r="AG168" t="s">
        <v>14</v>
      </c>
      <c r="AH168" t="s">
        <v>14</v>
      </c>
      <c r="AI168" t="s">
        <v>14</v>
      </c>
      <c r="AJ168" t="s">
        <v>14</v>
      </c>
      <c r="AK168" t="s">
        <v>14</v>
      </c>
      <c r="AL168" t="s">
        <v>14</v>
      </c>
      <c r="AM168">
        <f t="shared" si="47"/>
        <v>37.631750162654527</v>
      </c>
      <c r="AN168">
        <f t="shared" si="51"/>
        <v>10037.944046844503</v>
      </c>
      <c r="AO168">
        <f t="shared" si="52"/>
        <v>703.99479505530257</v>
      </c>
      <c r="AP168">
        <f t="shared" si="53"/>
        <v>8613.1424853610933</v>
      </c>
      <c r="AQ168">
        <f t="shared" si="54"/>
        <v>9.655172413793105</v>
      </c>
      <c r="AR168">
        <f t="shared" si="55"/>
        <v>720.8067664281067</v>
      </c>
      <c r="AS168">
        <f t="shared" si="56"/>
        <v>3.8097359919795033</v>
      </c>
      <c r="AT168">
        <f t="shared" si="57"/>
        <v>53.380862203408711</v>
      </c>
      <c r="AU168">
        <f t="shared" si="58"/>
        <v>77.836861045142953</v>
      </c>
      <c r="AV168">
        <f t="shared" si="59"/>
        <v>9.6186752673006526E-2</v>
      </c>
      <c r="AW168">
        <f t="shared" si="60"/>
        <v>85.805842761882047</v>
      </c>
      <c r="AX168">
        <f t="shared" si="61"/>
        <v>7.1808207244858808</v>
      </c>
      <c r="AY168">
        <f t="shared" si="62"/>
        <v>3093.8080495356035</v>
      </c>
      <c r="AZ168">
        <f t="shared" si="63"/>
        <v>7813.2205595315554</v>
      </c>
      <c r="BA168">
        <f t="shared" si="64"/>
        <v>62.355237475601825</v>
      </c>
      <c r="BB168" t="s">
        <v>33</v>
      </c>
      <c r="BC168" t="s">
        <v>33</v>
      </c>
      <c r="BD168">
        <v>89.77</v>
      </c>
      <c r="BE168">
        <v>76.849999999999994</v>
      </c>
      <c r="BF168">
        <v>28.92</v>
      </c>
      <c r="BG168">
        <v>47.92</v>
      </c>
      <c r="BH168">
        <v>3.42</v>
      </c>
      <c r="BI168">
        <v>812361</v>
      </c>
      <c r="BJ168">
        <v>54102</v>
      </c>
      <c r="BK168">
        <v>742</v>
      </c>
      <c r="BL168">
        <v>45327</v>
      </c>
      <c r="BM168">
        <v>14092</v>
      </c>
      <c r="BN168">
        <v>600446</v>
      </c>
      <c r="BO168">
        <v>2055</v>
      </c>
      <c r="BP168">
        <v>1755</v>
      </c>
      <c r="BQ168">
        <v>52897</v>
      </c>
      <c r="BR168">
        <v>39972</v>
      </c>
      <c r="BS168" t="s">
        <v>21</v>
      </c>
      <c r="BT168" t="s">
        <v>588</v>
      </c>
      <c r="BU168">
        <v>0</v>
      </c>
      <c r="BV168">
        <v>0</v>
      </c>
      <c r="BW168">
        <v>0.3</v>
      </c>
      <c r="BX168">
        <v>0</v>
      </c>
      <c r="BY168">
        <v>90.2</v>
      </c>
      <c r="BZ168">
        <v>90.5</v>
      </c>
      <c r="CA168">
        <v>0</v>
      </c>
      <c r="CB168">
        <v>0</v>
      </c>
      <c r="CC168">
        <v>0</v>
      </c>
      <c r="CD168">
        <f t="shared" si="65"/>
        <v>3.3149171270717703E-3</v>
      </c>
      <c r="CE168">
        <v>0</v>
      </c>
    </row>
    <row r="169" spans="1:83" x14ac:dyDescent="0.4">
      <c r="A169" t="s">
        <v>1116</v>
      </c>
      <c r="B169" t="s">
        <v>49</v>
      </c>
      <c r="C169" t="s">
        <v>73</v>
      </c>
      <c r="D169" t="s">
        <v>82</v>
      </c>
      <c r="E169" t="s">
        <v>49</v>
      </c>
      <c r="F169" t="s">
        <v>22</v>
      </c>
      <c r="G169">
        <v>30</v>
      </c>
      <c r="H169">
        <v>39</v>
      </c>
      <c r="I169">
        <v>53</v>
      </c>
      <c r="J169">
        <f t="shared" si="48"/>
        <v>-23</v>
      </c>
      <c r="K169">
        <f t="shared" si="49"/>
        <v>-14</v>
      </c>
      <c r="L169">
        <v>-9</v>
      </c>
      <c r="M169">
        <v>53.09</v>
      </c>
      <c r="N169" t="s">
        <v>591</v>
      </c>
      <c r="O169" t="s">
        <v>592</v>
      </c>
      <c r="P169" t="s">
        <v>13</v>
      </c>
      <c r="Q169">
        <v>0.4</v>
      </c>
      <c r="R169" t="s">
        <v>13</v>
      </c>
      <c r="S169" t="s">
        <v>15</v>
      </c>
      <c r="T169" t="s">
        <v>14</v>
      </c>
      <c r="U169">
        <v>5</v>
      </c>
      <c r="V169" t="s">
        <v>14</v>
      </c>
      <c r="W169">
        <f t="shared" si="50"/>
        <v>1</v>
      </c>
      <c r="X169" t="s">
        <v>14</v>
      </c>
      <c r="Y169" t="s">
        <v>14</v>
      </c>
      <c r="Z169">
        <v>0</v>
      </c>
      <c r="AA169">
        <f t="shared" si="44"/>
        <v>5009.7959183673465</v>
      </c>
      <c r="AB169">
        <f t="shared" si="45"/>
        <v>73.469387755102034</v>
      </c>
      <c r="AC169">
        <f t="shared" si="46"/>
        <v>36.326530612244895</v>
      </c>
      <c r="AD169" t="s">
        <v>37</v>
      </c>
      <c r="AE169" t="s">
        <v>15</v>
      </c>
      <c r="AF169" t="s">
        <v>18</v>
      </c>
      <c r="AG169" t="s">
        <v>14</v>
      </c>
      <c r="AH169" t="s">
        <v>14</v>
      </c>
      <c r="AI169" t="s">
        <v>41</v>
      </c>
      <c r="AJ169" t="s">
        <v>14</v>
      </c>
      <c r="AK169" t="s">
        <v>14</v>
      </c>
      <c r="AL169" t="s">
        <v>14</v>
      </c>
      <c r="AM169">
        <f t="shared" si="47"/>
        <v>49.444444444444443</v>
      </c>
      <c r="AN169">
        <f t="shared" si="51"/>
        <v>6670</v>
      </c>
      <c r="AO169">
        <f t="shared" si="52"/>
        <v>3620</v>
      </c>
      <c r="AP169">
        <f t="shared" si="53"/>
        <v>1923.3333333333333</v>
      </c>
      <c r="AQ169">
        <f t="shared" si="54"/>
        <v>1005.5555555555555</v>
      </c>
      <c r="AR169">
        <f t="shared" si="55"/>
        <v>1126.6666666666667</v>
      </c>
      <c r="AS169">
        <f t="shared" si="56"/>
        <v>19.183673469387752</v>
      </c>
      <c r="AT169">
        <f t="shared" si="57"/>
        <v>37.142857142857139</v>
      </c>
      <c r="AU169">
        <f t="shared" si="58"/>
        <v>15.175745460603032</v>
      </c>
      <c r="AV169">
        <f t="shared" si="59"/>
        <v>15.075795435615525</v>
      </c>
      <c r="AW169">
        <f t="shared" si="60"/>
        <v>28.835582208895552</v>
      </c>
      <c r="AX169">
        <f t="shared" si="61"/>
        <v>16.891554222888555</v>
      </c>
      <c r="AY169">
        <f t="shared" si="62"/>
        <v>372.30769230769221</v>
      </c>
      <c r="AZ169">
        <f t="shared" si="63"/>
        <v>1012.2222222222222</v>
      </c>
      <c r="BA169">
        <f t="shared" si="64"/>
        <v>50.555555555555557</v>
      </c>
      <c r="BB169" t="s">
        <v>31</v>
      </c>
      <c r="BC169" t="s">
        <v>31</v>
      </c>
      <c r="BD169">
        <v>2.4500000000000002</v>
      </c>
      <c r="BE169">
        <v>1.8</v>
      </c>
      <c r="BF169">
        <v>0.89</v>
      </c>
      <c r="BG169">
        <v>0.91</v>
      </c>
      <c r="BH169">
        <v>0.47</v>
      </c>
      <c r="BI169">
        <v>12274</v>
      </c>
      <c r="BJ169">
        <v>6516</v>
      </c>
      <c r="BK169">
        <v>1810</v>
      </c>
      <c r="BL169">
        <v>565</v>
      </c>
      <c r="BM169">
        <v>676</v>
      </c>
      <c r="BN169">
        <v>1822</v>
      </c>
      <c r="BO169">
        <v>399</v>
      </c>
      <c r="BP169">
        <v>161</v>
      </c>
      <c r="BQ169">
        <v>57</v>
      </c>
      <c r="BR169">
        <v>242</v>
      </c>
      <c r="BS169" t="s">
        <v>21</v>
      </c>
      <c r="BT169" t="s">
        <v>175</v>
      </c>
      <c r="BU169">
        <v>0</v>
      </c>
      <c r="BV169">
        <v>0</v>
      </c>
      <c r="BW169">
        <v>0</v>
      </c>
      <c r="BX169">
        <v>1.3</v>
      </c>
      <c r="BY169">
        <v>2.7</v>
      </c>
      <c r="BZ169">
        <v>2.7</v>
      </c>
      <c r="CA169">
        <v>2</v>
      </c>
      <c r="CB169">
        <v>2</v>
      </c>
      <c r="CC169">
        <v>0</v>
      </c>
      <c r="CD169">
        <f t="shared" si="65"/>
        <v>0</v>
      </c>
      <c r="CE169">
        <v>1</v>
      </c>
    </row>
    <row r="170" spans="1:83" x14ac:dyDescent="0.4">
      <c r="A170" t="s">
        <v>1117</v>
      </c>
      <c r="B170" t="s">
        <v>34</v>
      </c>
      <c r="C170" t="s">
        <v>34</v>
      </c>
      <c r="D170" t="s">
        <v>34</v>
      </c>
      <c r="E170" t="s">
        <v>49</v>
      </c>
      <c r="F170" t="s">
        <v>32</v>
      </c>
      <c r="G170">
        <v>70</v>
      </c>
      <c r="H170">
        <v>82</v>
      </c>
      <c r="I170">
        <v>94</v>
      </c>
      <c r="J170">
        <f t="shared" si="48"/>
        <v>-24</v>
      </c>
      <c r="K170">
        <f t="shared" si="49"/>
        <v>-12</v>
      </c>
      <c r="L170">
        <v>-12</v>
      </c>
      <c r="M170">
        <v>93.8</v>
      </c>
      <c r="N170" t="s">
        <v>594</v>
      </c>
      <c r="O170" t="s">
        <v>595</v>
      </c>
      <c r="P170" t="s">
        <v>13</v>
      </c>
      <c r="Q170">
        <v>0.4</v>
      </c>
      <c r="R170" t="s">
        <v>13</v>
      </c>
      <c r="S170" t="s">
        <v>15</v>
      </c>
      <c r="T170" t="s">
        <v>14</v>
      </c>
      <c r="U170">
        <v>2.5</v>
      </c>
      <c r="V170" t="s">
        <v>14</v>
      </c>
      <c r="W170">
        <v>0</v>
      </c>
      <c r="X170" t="s">
        <v>14</v>
      </c>
      <c r="Y170" t="s">
        <v>14</v>
      </c>
      <c r="Z170">
        <v>0</v>
      </c>
      <c r="AA170">
        <f t="shared" si="44"/>
        <v>1553.6649214659687</v>
      </c>
      <c r="AB170">
        <f t="shared" si="45"/>
        <v>35.078534031413611</v>
      </c>
      <c r="AC170">
        <f t="shared" si="46"/>
        <v>32.460732984293195</v>
      </c>
      <c r="AD170" t="s">
        <v>15</v>
      </c>
      <c r="AE170" t="s">
        <v>15</v>
      </c>
      <c r="AF170" t="s">
        <v>18</v>
      </c>
      <c r="AG170" t="s">
        <v>14</v>
      </c>
      <c r="AH170" t="s">
        <v>14</v>
      </c>
      <c r="AI170" t="s">
        <v>14</v>
      </c>
      <c r="AJ170" t="s">
        <v>14</v>
      </c>
      <c r="AK170" t="s">
        <v>14</v>
      </c>
      <c r="AL170" t="s">
        <v>14</v>
      </c>
      <c r="AM170">
        <f t="shared" si="47"/>
        <v>92.537313432835816</v>
      </c>
      <c r="AN170">
        <f t="shared" si="51"/>
        <v>4408.9552238805963</v>
      </c>
      <c r="AO170">
        <f t="shared" si="52"/>
        <v>4154.4776119402986</v>
      </c>
      <c r="AP170">
        <f t="shared" si="53"/>
        <v>226.1194029850746</v>
      </c>
      <c r="AQ170">
        <f t="shared" si="54"/>
        <v>12.686567164179104</v>
      </c>
      <c r="AR170">
        <f t="shared" si="55"/>
        <v>28.35820895522388</v>
      </c>
      <c r="AS170">
        <f t="shared" si="56"/>
        <v>62.303664921465973</v>
      </c>
      <c r="AT170">
        <f t="shared" si="57"/>
        <v>2.6178010471204192</v>
      </c>
      <c r="AU170">
        <f t="shared" si="58"/>
        <v>2.081922816519973</v>
      </c>
      <c r="AV170">
        <f t="shared" si="59"/>
        <v>0.28774542992552471</v>
      </c>
      <c r="AW170">
        <f t="shared" si="60"/>
        <v>5.1286391333784698</v>
      </c>
      <c r="AX170">
        <f t="shared" si="61"/>
        <v>0.6431956668923493</v>
      </c>
      <c r="AY170">
        <f t="shared" si="62"/>
        <v>10.483870967741938</v>
      </c>
      <c r="AZ170">
        <f t="shared" si="63"/>
        <v>91.791044776119392</v>
      </c>
      <c r="BA170">
        <f t="shared" si="64"/>
        <v>7.4626865671641784</v>
      </c>
      <c r="BB170" t="s">
        <v>33</v>
      </c>
      <c r="BC170" t="s">
        <v>33</v>
      </c>
      <c r="BD170">
        <v>3.82</v>
      </c>
      <c r="BE170">
        <v>1.34</v>
      </c>
      <c r="BF170">
        <v>1.24</v>
      </c>
      <c r="BG170">
        <v>0.1</v>
      </c>
      <c r="BH170">
        <v>2.38</v>
      </c>
      <c r="BI170">
        <v>5935</v>
      </c>
      <c r="BJ170">
        <v>5567</v>
      </c>
      <c r="BK170">
        <v>17</v>
      </c>
      <c r="BL170">
        <v>115</v>
      </c>
      <c r="BM170">
        <v>21</v>
      </c>
      <c r="BN170">
        <v>123</v>
      </c>
      <c r="BO170">
        <v>44</v>
      </c>
      <c r="BP170">
        <v>3</v>
      </c>
      <c r="BQ170">
        <v>18</v>
      </c>
      <c r="BR170">
        <v>26</v>
      </c>
      <c r="BS170" t="s">
        <v>21</v>
      </c>
      <c r="BT170" t="s">
        <v>593</v>
      </c>
      <c r="BU170">
        <v>0</v>
      </c>
      <c r="BV170">
        <v>0</v>
      </c>
      <c r="BW170">
        <v>0.1</v>
      </c>
      <c r="BX170">
        <v>0.1</v>
      </c>
      <c r="BY170">
        <v>11.8</v>
      </c>
      <c r="BZ170">
        <v>11.8</v>
      </c>
      <c r="CA170">
        <v>0</v>
      </c>
      <c r="CB170">
        <v>0</v>
      </c>
      <c r="CC170">
        <v>0</v>
      </c>
      <c r="CD170">
        <f t="shared" si="65"/>
        <v>0</v>
      </c>
      <c r="CE170">
        <v>0</v>
      </c>
    </row>
    <row r="171" spans="1:83" x14ac:dyDescent="0.4">
      <c r="A171" t="s">
        <v>1118</v>
      </c>
      <c r="B171" t="s">
        <v>19</v>
      </c>
      <c r="C171" t="s">
        <v>19</v>
      </c>
      <c r="D171" t="s">
        <v>19</v>
      </c>
      <c r="E171" t="s">
        <v>49</v>
      </c>
      <c r="F171" t="s">
        <v>22</v>
      </c>
      <c r="G171">
        <v>80</v>
      </c>
      <c r="H171">
        <v>81</v>
      </c>
      <c r="I171">
        <v>63.5</v>
      </c>
      <c r="J171">
        <f t="shared" si="48"/>
        <v>16.5</v>
      </c>
      <c r="K171">
        <f t="shared" si="49"/>
        <v>17.5</v>
      </c>
      <c r="L171">
        <v>-1</v>
      </c>
      <c r="M171">
        <v>63.57</v>
      </c>
      <c r="N171" t="s">
        <v>598</v>
      </c>
      <c r="O171" t="s">
        <v>599</v>
      </c>
      <c r="P171" t="s">
        <v>13</v>
      </c>
      <c r="Q171">
        <v>0.1</v>
      </c>
      <c r="R171" t="s">
        <v>13</v>
      </c>
      <c r="S171" t="s">
        <v>15</v>
      </c>
      <c r="T171" t="s">
        <v>14</v>
      </c>
      <c r="U171">
        <v>37.5</v>
      </c>
      <c r="V171" t="s">
        <v>17</v>
      </c>
      <c r="W171">
        <f t="shared" si="50"/>
        <v>0.625</v>
      </c>
      <c r="X171" t="s">
        <v>14</v>
      </c>
      <c r="Y171" t="s">
        <v>14</v>
      </c>
      <c r="Z171">
        <v>5</v>
      </c>
      <c r="AA171">
        <f t="shared" si="44"/>
        <v>5590.5354919053552</v>
      </c>
      <c r="AB171">
        <f t="shared" si="45"/>
        <v>42.092154420921545</v>
      </c>
      <c r="AC171">
        <f t="shared" si="46"/>
        <v>36.488169364881699</v>
      </c>
      <c r="AD171" t="s">
        <v>27</v>
      </c>
      <c r="AE171" t="s">
        <v>37</v>
      </c>
      <c r="AF171" t="s">
        <v>18</v>
      </c>
      <c r="AG171" t="s">
        <v>14</v>
      </c>
      <c r="AH171" t="s">
        <v>14</v>
      </c>
      <c r="AI171" t="s">
        <v>18</v>
      </c>
      <c r="AJ171" t="s">
        <v>14</v>
      </c>
      <c r="AK171" t="s">
        <v>14</v>
      </c>
      <c r="AL171" t="s">
        <v>14</v>
      </c>
      <c r="AM171">
        <f t="shared" si="47"/>
        <v>86.68639053254438</v>
      </c>
      <c r="AN171">
        <f t="shared" si="51"/>
        <v>9022.4852071005917</v>
      </c>
      <c r="AO171">
        <f t="shared" si="52"/>
        <v>8443.1952662721887</v>
      </c>
      <c r="AP171">
        <f t="shared" si="53"/>
        <v>269.52662721893495</v>
      </c>
      <c r="AQ171">
        <f t="shared" si="54"/>
        <v>205.91715976331361</v>
      </c>
      <c r="AR171">
        <f t="shared" si="55"/>
        <v>309.76331360946745</v>
      </c>
      <c r="AS171">
        <f t="shared" si="56"/>
        <v>18.555417185554173</v>
      </c>
      <c r="AT171">
        <f t="shared" si="57"/>
        <v>5.6039850560398508</v>
      </c>
      <c r="AU171">
        <f t="shared" si="58"/>
        <v>1.7805613850996853</v>
      </c>
      <c r="AV171">
        <f t="shared" si="59"/>
        <v>2.2822665267576077</v>
      </c>
      <c r="AW171">
        <f t="shared" si="60"/>
        <v>2.9872770199370411</v>
      </c>
      <c r="AX171">
        <f t="shared" si="61"/>
        <v>3.4332371458551942</v>
      </c>
      <c r="AY171">
        <f t="shared" si="62"/>
        <v>3095.0537634408606</v>
      </c>
      <c r="AZ171">
        <f t="shared" si="63"/>
        <v>160.6508875739645</v>
      </c>
      <c r="BA171">
        <f t="shared" si="64"/>
        <v>13.313609467455622</v>
      </c>
      <c r="BB171" t="s">
        <v>48</v>
      </c>
      <c r="BC171" t="s">
        <v>29</v>
      </c>
      <c r="BD171">
        <v>8.0299999999999994</v>
      </c>
      <c r="BE171">
        <v>3.38</v>
      </c>
      <c r="BF171">
        <v>2.93</v>
      </c>
      <c r="BG171">
        <v>0.45</v>
      </c>
      <c r="BH171">
        <v>1.49</v>
      </c>
      <c r="BI171">
        <v>44892</v>
      </c>
      <c r="BJ171">
        <v>28538</v>
      </c>
      <c r="BK171">
        <v>696</v>
      </c>
      <c r="BL171">
        <v>183</v>
      </c>
      <c r="BM171">
        <v>36</v>
      </c>
      <c r="BN171">
        <v>543</v>
      </c>
      <c r="BO171">
        <v>149</v>
      </c>
      <c r="BP171">
        <v>152</v>
      </c>
      <c r="BQ171">
        <v>199</v>
      </c>
      <c r="BR171">
        <v>14392</v>
      </c>
      <c r="BS171" t="s">
        <v>21</v>
      </c>
      <c r="BT171" t="s">
        <v>597</v>
      </c>
      <c r="BU171">
        <v>0</v>
      </c>
      <c r="BV171">
        <v>0.1</v>
      </c>
      <c r="BW171">
        <v>0</v>
      </c>
      <c r="BX171">
        <v>1.5</v>
      </c>
      <c r="BY171">
        <v>9.9</v>
      </c>
      <c r="BZ171">
        <v>10.1</v>
      </c>
      <c r="CA171">
        <v>8</v>
      </c>
      <c r="CB171">
        <v>5</v>
      </c>
      <c r="CC171">
        <v>0</v>
      </c>
      <c r="CD171">
        <f t="shared" si="65"/>
        <v>1.9801980198019709E-2</v>
      </c>
      <c r="CE171">
        <v>0.625</v>
      </c>
    </row>
    <row r="172" spans="1:83" x14ac:dyDescent="0.4">
      <c r="A172" t="s">
        <v>1119</v>
      </c>
      <c r="B172" t="s">
        <v>34</v>
      </c>
      <c r="C172" t="s">
        <v>34</v>
      </c>
      <c r="D172" t="s">
        <v>34</v>
      </c>
      <c r="E172" t="s">
        <v>49</v>
      </c>
      <c r="F172" t="s">
        <v>32</v>
      </c>
      <c r="G172">
        <v>50</v>
      </c>
      <c r="H172">
        <v>46</v>
      </c>
      <c r="I172">
        <v>24.5</v>
      </c>
      <c r="J172">
        <f t="shared" si="48"/>
        <v>25.5</v>
      </c>
      <c r="K172">
        <f t="shared" si="49"/>
        <v>21.5</v>
      </c>
      <c r="L172">
        <v>4</v>
      </c>
      <c r="M172">
        <v>24.35</v>
      </c>
      <c r="N172" t="s">
        <v>601</v>
      </c>
      <c r="O172" t="s">
        <v>602</v>
      </c>
      <c r="P172" t="s">
        <v>13</v>
      </c>
      <c r="Q172">
        <v>0</v>
      </c>
      <c r="R172" t="s">
        <v>13</v>
      </c>
      <c r="S172" t="s">
        <v>27</v>
      </c>
      <c r="T172" t="s">
        <v>14</v>
      </c>
      <c r="U172">
        <v>0</v>
      </c>
      <c r="V172" t="s">
        <v>14</v>
      </c>
      <c r="W172">
        <v>0</v>
      </c>
      <c r="X172" t="s">
        <v>14</v>
      </c>
      <c r="Y172" t="s">
        <v>14</v>
      </c>
      <c r="Z172">
        <v>0</v>
      </c>
      <c r="AA172">
        <f t="shared" si="44"/>
        <v>1566.2575366063738</v>
      </c>
      <c r="AB172">
        <f t="shared" si="45"/>
        <v>9.0008613264427222</v>
      </c>
      <c r="AC172">
        <f t="shared" si="46"/>
        <v>7.7734711455641694</v>
      </c>
      <c r="AD172" t="s">
        <v>36</v>
      </c>
      <c r="AE172" t="s">
        <v>15</v>
      </c>
      <c r="AF172" t="s">
        <v>18</v>
      </c>
      <c r="AG172" t="s">
        <v>14</v>
      </c>
      <c r="AH172" t="s">
        <v>14</v>
      </c>
      <c r="AI172" t="s">
        <v>14</v>
      </c>
      <c r="AJ172" t="s">
        <v>14</v>
      </c>
      <c r="AK172" t="s">
        <v>14</v>
      </c>
      <c r="AL172" t="s">
        <v>14</v>
      </c>
      <c r="AM172">
        <f t="shared" si="47"/>
        <v>86.363636363636374</v>
      </c>
      <c r="AN172">
        <f t="shared" si="51"/>
        <v>5455.0239234449764</v>
      </c>
      <c r="AO172">
        <f t="shared" si="52"/>
        <v>4237.7990430622012</v>
      </c>
      <c r="AP172">
        <f t="shared" si="53"/>
        <v>985.4066985645934</v>
      </c>
      <c r="AQ172">
        <f t="shared" si="54"/>
        <v>73.923444976076567</v>
      </c>
      <c r="AR172">
        <f t="shared" si="55"/>
        <v>231.81818181818184</v>
      </c>
      <c r="AS172">
        <f t="shared" si="56"/>
        <v>36.886304909560728</v>
      </c>
      <c r="AT172">
        <f t="shared" si="57"/>
        <v>1.2273901808785528</v>
      </c>
      <c r="AU172">
        <f t="shared" si="58"/>
        <v>10.095605648627313</v>
      </c>
      <c r="AV172">
        <f t="shared" si="59"/>
        <v>1.3551442855889835</v>
      </c>
      <c r="AW172">
        <f t="shared" si="60"/>
        <v>18.064204894307515</v>
      </c>
      <c r="AX172">
        <f t="shared" si="61"/>
        <v>4.2496272256819578</v>
      </c>
      <c r="AY172">
        <f t="shared" si="62"/>
        <v>1181.3298627543777</v>
      </c>
      <c r="AZ172">
        <f t="shared" si="63"/>
        <v>550.71770334928237</v>
      </c>
      <c r="BA172">
        <f t="shared" si="64"/>
        <v>13.636363636363635</v>
      </c>
      <c r="BB172" t="s">
        <v>33</v>
      </c>
      <c r="BC172" t="s">
        <v>33</v>
      </c>
      <c r="BD172">
        <v>46.44</v>
      </c>
      <c r="BE172">
        <v>4.18</v>
      </c>
      <c r="BF172">
        <v>3.61</v>
      </c>
      <c r="BG172">
        <v>0.56999999999999995</v>
      </c>
      <c r="BH172">
        <v>17.13</v>
      </c>
      <c r="BI172">
        <v>72737</v>
      </c>
      <c r="BJ172">
        <v>17714</v>
      </c>
      <c r="BK172">
        <v>309</v>
      </c>
      <c r="BL172">
        <v>1372</v>
      </c>
      <c r="BM172">
        <v>204</v>
      </c>
      <c r="BN172">
        <v>2302</v>
      </c>
      <c r="BO172">
        <v>241</v>
      </c>
      <c r="BP172">
        <v>234</v>
      </c>
      <c r="BQ172">
        <v>426</v>
      </c>
      <c r="BR172">
        <v>49923</v>
      </c>
      <c r="BS172" t="s">
        <v>21</v>
      </c>
      <c r="BT172" t="s">
        <v>600</v>
      </c>
      <c r="BU172">
        <v>2.9</v>
      </c>
      <c r="BV172">
        <v>0.1</v>
      </c>
      <c r="BW172">
        <v>0</v>
      </c>
      <c r="BX172">
        <v>0.1</v>
      </c>
      <c r="BY172">
        <v>46.5</v>
      </c>
      <c r="BZ172">
        <v>48</v>
      </c>
      <c r="CA172">
        <v>0</v>
      </c>
      <c r="CB172">
        <v>0</v>
      </c>
      <c r="CC172">
        <v>0</v>
      </c>
      <c r="CD172">
        <f t="shared" si="65"/>
        <v>3.125E-2</v>
      </c>
      <c r="CE172">
        <v>0</v>
      </c>
    </row>
    <row r="173" spans="1:83" x14ac:dyDescent="0.4">
      <c r="A173" t="s">
        <v>1120</v>
      </c>
      <c r="B173" t="s">
        <v>25</v>
      </c>
      <c r="C173" t="s">
        <v>82</v>
      </c>
      <c r="D173" t="s">
        <v>82</v>
      </c>
      <c r="E173" t="s">
        <v>49</v>
      </c>
      <c r="F173" t="s">
        <v>22</v>
      </c>
      <c r="G173">
        <v>50</v>
      </c>
      <c r="H173">
        <v>30</v>
      </c>
      <c r="I173">
        <v>53</v>
      </c>
      <c r="J173">
        <f t="shared" si="48"/>
        <v>-3</v>
      </c>
      <c r="K173">
        <f t="shared" si="49"/>
        <v>-23</v>
      </c>
      <c r="L173">
        <v>20</v>
      </c>
      <c r="M173">
        <v>53.13</v>
      </c>
      <c r="N173" t="s">
        <v>604</v>
      </c>
      <c r="O173" t="s">
        <v>605</v>
      </c>
      <c r="P173" t="s">
        <v>13</v>
      </c>
      <c r="Q173">
        <v>0.2</v>
      </c>
      <c r="R173" t="s">
        <v>13</v>
      </c>
      <c r="S173" t="s">
        <v>15</v>
      </c>
      <c r="T173" t="s">
        <v>14</v>
      </c>
      <c r="U173">
        <v>0</v>
      </c>
      <c r="V173" t="s">
        <v>14</v>
      </c>
      <c r="W173">
        <f t="shared" si="50"/>
        <v>0.75</v>
      </c>
      <c r="X173" t="s">
        <v>14</v>
      </c>
      <c r="Y173" t="s">
        <v>14</v>
      </c>
      <c r="Z173">
        <v>0</v>
      </c>
      <c r="AA173">
        <f t="shared" si="44"/>
        <v>4425.5894590846046</v>
      </c>
      <c r="AB173">
        <f t="shared" si="45"/>
        <v>77.392510402219145</v>
      </c>
      <c r="AC173">
        <f t="shared" si="46"/>
        <v>47.087378640776699</v>
      </c>
      <c r="AD173" t="s">
        <v>27</v>
      </c>
      <c r="AE173" t="s">
        <v>27</v>
      </c>
      <c r="AF173" t="s">
        <v>18</v>
      </c>
      <c r="AG173" t="s">
        <v>17</v>
      </c>
      <c r="AH173" t="s">
        <v>14</v>
      </c>
      <c r="AI173" t="s">
        <v>18</v>
      </c>
      <c r="AJ173" t="s">
        <v>14</v>
      </c>
      <c r="AK173" t="s">
        <v>14</v>
      </c>
      <c r="AL173" t="s">
        <v>14</v>
      </c>
      <c r="AM173">
        <f t="shared" si="47"/>
        <v>60.842293906810035</v>
      </c>
      <c r="AN173">
        <f t="shared" si="51"/>
        <v>5258.4229390681003</v>
      </c>
      <c r="AO173">
        <f t="shared" si="52"/>
        <v>3038.1720430107525</v>
      </c>
      <c r="AP173">
        <f t="shared" si="53"/>
        <v>1192.831541218638</v>
      </c>
      <c r="AQ173">
        <f t="shared" si="54"/>
        <v>866.48745519713259</v>
      </c>
      <c r="AR173">
        <f t="shared" si="55"/>
        <v>1027.4193548387098</v>
      </c>
      <c r="AS173">
        <f t="shared" si="56"/>
        <v>9.9861303744798899</v>
      </c>
      <c r="AT173">
        <f t="shared" si="57"/>
        <v>30.235783633841891</v>
      </c>
      <c r="AU173">
        <f t="shared" si="58"/>
        <v>12.560493490559608</v>
      </c>
      <c r="AV173">
        <f t="shared" si="59"/>
        <v>16.478086020039534</v>
      </c>
      <c r="AW173">
        <f t="shared" si="60"/>
        <v>22.684206938858974</v>
      </c>
      <c r="AX173">
        <f t="shared" si="61"/>
        <v>19.538545429759388</v>
      </c>
      <c r="AY173">
        <f t="shared" si="62"/>
        <v>1386.1963190184049</v>
      </c>
      <c r="AZ173">
        <f t="shared" si="63"/>
        <v>660.48387096774195</v>
      </c>
      <c r="BA173">
        <f t="shared" si="64"/>
        <v>39.068100358422946</v>
      </c>
      <c r="BB173" t="s">
        <v>48</v>
      </c>
      <c r="BC173" t="s">
        <v>40</v>
      </c>
      <c r="BD173">
        <v>14.42</v>
      </c>
      <c r="BE173">
        <v>11.16</v>
      </c>
      <c r="BF173">
        <v>6.79</v>
      </c>
      <c r="BG173">
        <v>4.3600000000000003</v>
      </c>
      <c r="BH173">
        <v>1.44</v>
      </c>
      <c r="BI173">
        <v>63817</v>
      </c>
      <c r="BJ173">
        <v>33906</v>
      </c>
      <c r="BK173">
        <v>9670</v>
      </c>
      <c r="BL173">
        <v>2701</v>
      </c>
      <c r="BM173">
        <v>405</v>
      </c>
      <c r="BN173">
        <v>7371</v>
      </c>
      <c r="BO173">
        <v>2835</v>
      </c>
      <c r="BP173">
        <v>1460</v>
      </c>
      <c r="BQ173">
        <v>336</v>
      </c>
      <c r="BR173">
        <v>4519</v>
      </c>
      <c r="BS173" t="s">
        <v>21</v>
      </c>
      <c r="BT173" t="s">
        <v>603</v>
      </c>
      <c r="BU173">
        <v>0</v>
      </c>
      <c r="BV173">
        <v>0</v>
      </c>
      <c r="BW173">
        <v>0</v>
      </c>
      <c r="BX173">
        <v>0.1</v>
      </c>
      <c r="BY173">
        <v>16.100000000000001</v>
      </c>
      <c r="BZ173">
        <v>16.2</v>
      </c>
      <c r="CA173">
        <v>8</v>
      </c>
      <c r="CB173">
        <v>6</v>
      </c>
      <c r="CC173">
        <v>0</v>
      </c>
      <c r="CD173">
        <f t="shared" si="65"/>
        <v>6.1728395061727559E-3</v>
      </c>
      <c r="CE173">
        <v>0.75</v>
      </c>
    </row>
    <row r="174" spans="1:83" x14ac:dyDescent="0.4">
      <c r="A174" t="s">
        <v>1121</v>
      </c>
      <c r="B174" t="s">
        <v>65</v>
      </c>
      <c r="C174" t="s">
        <v>82</v>
      </c>
      <c r="D174" t="s">
        <v>82</v>
      </c>
      <c r="E174" t="s">
        <v>49</v>
      </c>
      <c r="F174" t="s">
        <v>32</v>
      </c>
      <c r="G174">
        <v>60</v>
      </c>
      <c r="H174">
        <v>59</v>
      </c>
      <c r="I174">
        <v>85.5</v>
      </c>
      <c r="J174">
        <f t="shared" si="48"/>
        <v>-25.5</v>
      </c>
      <c r="K174">
        <f t="shared" si="49"/>
        <v>-26.5</v>
      </c>
      <c r="L174">
        <v>1</v>
      </c>
      <c r="M174">
        <v>85.44</v>
      </c>
      <c r="N174" t="s">
        <v>607</v>
      </c>
      <c r="O174" t="s">
        <v>608</v>
      </c>
      <c r="P174" t="s">
        <v>13</v>
      </c>
      <c r="Q174">
        <v>0.1</v>
      </c>
      <c r="R174" t="s">
        <v>13</v>
      </c>
      <c r="S174" t="s">
        <v>15</v>
      </c>
      <c r="T174" t="s">
        <v>14</v>
      </c>
      <c r="U174">
        <v>0</v>
      </c>
      <c r="V174" t="s">
        <v>14</v>
      </c>
      <c r="W174">
        <v>0</v>
      </c>
      <c r="X174" t="s">
        <v>14</v>
      </c>
      <c r="Y174" t="s">
        <v>14</v>
      </c>
      <c r="Z174">
        <v>0</v>
      </c>
      <c r="AA174">
        <f t="shared" si="44"/>
        <v>1437.7685377685377</v>
      </c>
      <c r="AB174">
        <f t="shared" si="45"/>
        <v>29.313929313929318</v>
      </c>
      <c r="AC174">
        <f t="shared" si="46"/>
        <v>28.274428274428274</v>
      </c>
      <c r="AD174" t="s">
        <v>15</v>
      </c>
      <c r="AE174" t="s">
        <v>15</v>
      </c>
      <c r="AF174" t="s">
        <v>18</v>
      </c>
      <c r="AG174" t="s">
        <v>14</v>
      </c>
      <c r="AH174" t="s">
        <v>14</v>
      </c>
      <c r="AI174" t="s">
        <v>14</v>
      </c>
      <c r="AJ174" t="s">
        <v>14</v>
      </c>
      <c r="AK174" t="s">
        <v>14</v>
      </c>
      <c r="AL174" t="s">
        <v>14</v>
      </c>
      <c r="AM174">
        <f t="shared" si="47"/>
        <v>96.453900709219852</v>
      </c>
      <c r="AN174">
        <f t="shared" si="51"/>
        <v>4795.2718676122922</v>
      </c>
      <c r="AO174">
        <f t="shared" si="52"/>
        <v>4190.5437352245863</v>
      </c>
      <c r="AP174">
        <f t="shared" si="53"/>
        <v>584.86997635933801</v>
      </c>
      <c r="AQ174">
        <f t="shared" si="54"/>
        <v>4.2553191489361701</v>
      </c>
      <c r="AR174">
        <f t="shared" si="55"/>
        <v>19.858156028368793</v>
      </c>
      <c r="AS174">
        <f t="shared" si="56"/>
        <v>60.083160083160081</v>
      </c>
      <c r="AT174">
        <f t="shared" si="57"/>
        <v>1.0395010395010396</v>
      </c>
      <c r="AU174">
        <f t="shared" si="58"/>
        <v>4.4665746401104318</v>
      </c>
      <c r="AV174">
        <f t="shared" si="59"/>
        <v>8.8739893512127785E-2</v>
      </c>
      <c r="AW174">
        <f t="shared" si="60"/>
        <v>12.196805363833564</v>
      </c>
      <c r="AX174">
        <f t="shared" si="61"/>
        <v>0.41411950305659634</v>
      </c>
      <c r="AY174">
        <f t="shared" si="62"/>
        <v>45.392156862745104</v>
      </c>
      <c r="AZ174">
        <f t="shared" si="63"/>
        <v>214.18439716312054</v>
      </c>
      <c r="BA174">
        <f t="shared" si="64"/>
        <v>3.5460992907801416</v>
      </c>
      <c r="BB174" t="s">
        <v>33</v>
      </c>
      <c r="BC174" t="s">
        <v>33</v>
      </c>
      <c r="BD174">
        <v>14.43</v>
      </c>
      <c r="BE174">
        <v>4.2300000000000004</v>
      </c>
      <c r="BF174">
        <v>4.08</v>
      </c>
      <c r="BG174">
        <v>0.15</v>
      </c>
      <c r="BH174">
        <v>8.67</v>
      </c>
      <c r="BI174">
        <v>20747</v>
      </c>
      <c r="BJ174">
        <v>17726</v>
      </c>
      <c r="BK174">
        <v>18</v>
      </c>
      <c r="BL174">
        <v>1420</v>
      </c>
      <c r="BM174">
        <v>30</v>
      </c>
      <c r="BN174">
        <v>906</v>
      </c>
      <c r="BO174">
        <v>118</v>
      </c>
      <c r="BP174">
        <v>4</v>
      </c>
      <c r="BQ174">
        <v>62</v>
      </c>
      <c r="BR174">
        <v>463</v>
      </c>
      <c r="BS174" t="s">
        <v>21</v>
      </c>
      <c r="BT174" t="s">
        <v>606</v>
      </c>
      <c r="BU174">
        <v>0</v>
      </c>
      <c r="BV174">
        <v>0</v>
      </c>
      <c r="BW174">
        <v>8.5</v>
      </c>
      <c r="BX174">
        <v>0</v>
      </c>
      <c r="BY174">
        <v>38.9</v>
      </c>
      <c r="BZ174">
        <v>42.6</v>
      </c>
      <c r="CA174">
        <v>0</v>
      </c>
      <c r="CB174">
        <v>0</v>
      </c>
      <c r="CC174">
        <v>0</v>
      </c>
      <c r="CD174">
        <f t="shared" si="65"/>
        <v>8.6854460093896746E-2</v>
      </c>
      <c r="CE174">
        <v>0</v>
      </c>
    </row>
    <row r="175" spans="1:83" x14ac:dyDescent="0.4">
      <c r="A175" t="s">
        <v>1122</v>
      </c>
      <c r="B175" t="s">
        <v>19</v>
      </c>
      <c r="C175" t="s">
        <v>19</v>
      </c>
      <c r="D175" t="s">
        <v>19</v>
      </c>
      <c r="E175" t="s">
        <v>49</v>
      </c>
      <c r="F175" t="s">
        <v>22</v>
      </c>
      <c r="G175">
        <v>50</v>
      </c>
      <c r="H175">
        <v>50</v>
      </c>
      <c r="I175">
        <v>51</v>
      </c>
      <c r="J175">
        <f t="shared" si="48"/>
        <v>-1</v>
      </c>
      <c r="K175">
        <f t="shared" si="49"/>
        <v>-1</v>
      </c>
      <c r="L175">
        <v>0</v>
      </c>
      <c r="M175">
        <v>50.75</v>
      </c>
      <c r="N175" t="s">
        <v>609</v>
      </c>
      <c r="O175" t="s">
        <v>610</v>
      </c>
      <c r="P175" t="s">
        <v>13</v>
      </c>
      <c r="Q175">
        <v>0</v>
      </c>
      <c r="R175" t="s">
        <v>13</v>
      </c>
      <c r="S175" t="s">
        <v>15</v>
      </c>
      <c r="T175" t="s">
        <v>14</v>
      </c>
      <c r="U175">
        <v>0</v>
      </c>
      <c r="V175" t="s">
        <v>14</v>
      </c>
      <c r="W175">
        <f t="shared" si="50"/>
        <v>1</v>
      </c>
      <c r="X175" t="s">
        <v>14</v>
      </c>
      <c r="Y175" t="s">
        <v>14</v>
      </c>
      <c r="Z175">
        <v>0</v>
      </c>
      <c r="AA175">
        <f t="shared" si="44"/>
        <v>2801.5286624203823</v>
      </c>
      <c r="AB175">
        <f t="shared" si="45"/>
        <v>93.248407643312106</v>
      </c>
      <c r="AC175">
        <f t="shared" si="46"/>
        <v>25.732484076433121</v>
      </c>
      <c r="AD175" t="s">
        <v>15</v>
      </c>
      <c r="AE175" t="s">
        <v>15</v>
      </c>
      <c r="AF175" t="s">
        <v>24</v>
      </c>
      <c r="AG175" t="s">
        <v>14</v>
      </c>
      <c r="AH175" t="s">
        <v>14</v>
      </c>
      <c r="AI175" t="s">
        <v>14</v>
      </c>
      <c r="AJ175" t="s">
        <v>14</v>
      </c>
      <c r="AK175" t="s">
        <v>14</v>
      </c>
      <c r="AL175" t="s">
        <v>14</v>
      </c>
      <c r="AM175">
        <f t="shared" si="47"/>
        <v>27.595628415300546</v>
      </c>
      <c r="AN175">
        <f t="shared" si="51"/>
        <v>2874.0437158469945</v>
      </c>
      <c r="AO175">
        <f t="shared" si="52"/>
        <v>1524.8633879781421</v>
      </c>
      <c r="AP175">
        <f t="shared" si="53"/>
        <v>190.57377049180326</v>
      </c>
      <c r="AQ175">
        <f t="shared" si="54"/>
        <v>1014.8907103825136</v>
      </c>
      <c r="AR175">
        <f t="shared" si="55"/>
        <v>1158.6065573770491</v>
      </c>
      <c r="AS175">
        <f t="shared" si="56"/>
        <v>0.50955414012738853</v>
      </c>
      <c r="AT175">
        <f t="shared" si="57"/>
        <v>67.515923566878982</v>
      </c>
      <c r="AU175">
        <f t="shared" si="58"/>
        <v>4.4063123871090406</v>
      </c>
      <c r="AV175">
        <f t="shared" si="59"/>
        <v>35.312292042969865</v>
      </c>
      <c r="AW175">
        <f t="shared" si="60"/>
        <v>6.630858446620401</v>
      </c>
      <c r="AX175">
        <f t="shared" si="61"/>
        <v>40.312767373324462</v>
      </c>
      <c r="AY175">
        <f t="shared" si="62"/>
        <v>1781.1320754717003</v>
      </c>
      <c r="AZ175">
        <f t="shared" si="63"/>
        <v>126.63934426229508</v>
      </c>
      <c r="BA175">
        <f t="shared" si="64"/>
        <v>72.404371584699447</v>
      </c>
      <c r="BB175" t="s">
        <v>31</v>
      </c>
      <c r="BC175" t="s">
        <v>31</v>
      </c>
      <c r="BD175">
        <v>7.85</v>
      </c>
      <c r="BE175">
        <v>7.32</v>
      </c>
      <c r="BF175">
        <v>2.02</v>
      </c>
      <c r="BG175">
        <v>5.3</v>
      </c>
      <c r="BH175">
        <v>0.04</v>
      </c>
      <c r="BI175">
        <v>21992</v>
      </c>
      <c r="BJ175">
        <v>11162</v>
      </c>
      <c r="BK175">
        <v>7429</v>
      </c>
      <c r="BL175">
        <v>214</v>
      </c>
      <c r="BM175">
        <v>156</v>
      </c>
      <c r="BN175">
        <v>927</v>
      </c>
      <c r="BO175">
        <v>98</v>
      </c>
      <c r="BP175">
        <v>986</v>
      </c>
      <c r="BQ175">
        <v>66</v>
      </c>
      <c r="BR175">
        <v>944</v>
      </c>
      <c r="BS175" t="s">
        <v>21</v>
      </c>
      <c r="BT175" t="s">
        <v>151</v>
      </c>
      <c r="BU175">
        <v>0</v>
      </c>
      <c r="BV175">
        <v>0</v>
      </c>
      <c r="BW175">
        <v>0</v>
      </c>
      <c r="BX175">
        <v>0</v>
      </c>
      <c r="BY175">
        <v>8.8000000000000007</v>
      </c>
      <c r="BZ175">
        <v>8.8000000000000007</v>
      </c>
      <c r="CA175">
        <v>2</v>
      </c>
      <c r="CB175">
        <v>2</v>
      </c>
      <c r="CC175">
        <v>0</v>
      </c>
      <c r="CD175">
        <f t="shared" si="65"/>
        <v>0</v>
      </c>
      <c r="CE175">
        <v>1</v>
      </c>
    </row>
    <row r="176" spans="1:83" x14ac:dyDescent="0.4">
      <c r="A176" t="s">
        <v>1123</v>
      </c>
      <c r="B176" t="s">
        <v>49</v>
      </c>
      <c r="C176" t="s">
        <v>73</v>
      </c>
      <c r="D176" t="s">
        <v>82</v>
      </c>
      <c r="E176" t="s">
        <v>49</v>
      </c>
      <c r="F176" t="s">
        <v>12</v>
      </c>
      <c r="G176">
        <v>20</v>
      </c>
      <c r="H176">
        <v>35</v>
      </c>
      <c r="I176">
        <v>58.5</v>
      </c>
      <c r="J176">
        <f t="shared" si="48"/>
        <v>-38.5</v>
      </c>
      <c r="K176">
        <f t="shared" si="49"/>
        <v>-23.5</v>
      </c>
      <c r="L176">
        <v>-15</v>
      </c>
      <c r="M176">
        <v>58.61</v>
      </c>
      <c r="N176" t="s">
        <v>612</v>
      </c>
      <c r="O176" t="s">
        <v>613</v>
      </c>
      <c r="P176" t="s">
        <v>26</v>
      </c>
      <c r="Q176">
        <v>28.5</v>
      </c>
      <c r="R176" t="s">
        <v>13</v>
      </c>
      <c r="S176" t="s">
        <v>27</v>
      </c>
      <c r="T176" t="s">
        <v>14</v>
      </c>
      <c r="U176">
        <v>2.5</v>
      </c>
      <c r="V176" t="s">
        <v>14</v>
      </c>
      <c r="W176">
        <f t="shared" si="50"/>
        <v>1</v>
      </c>
      <c r="X176" t="s">
        <v>17</v>
      </c>
      <c r="Y176" t="s">
        <v>14</v>
      </c>
      <c r="Z176">
        <v>0</v>
      </c>
      <c r="AA176">
        <f t="shared" si="44"/>
        <v>5835.2786728726578</v>
      </c>
      <c r="AB176">
        <f t="shared" si="45"/>
        <v>71.81047857739587</v>
      </c>
      <c r="AC176">
        <f t="shared" si="46"/>
        <v>54.308390022675731</v>
      </c>
      <c r="AD176" t="s">
        <v>15</v>
      </c>
      <c r="AE176" t="s">
        <v>15</v>
      </c>
      <c r="AF176" t="s">
        <v>18</v>
      </c>
      <c r="AG176" t="s">
        <v>14</v>
      </c>
      <c r="AH176" t="s">
        <v>17</v>
      </c>
      <c r="AI176" t="s">
        <v>18</v>
      </c>
      <c r="AJ176" t="s">
        <v>14</v>
      </c>
      <c r="AK176" t="s">
        <v>14</v>
      </c>
      <c r="AL176" t="s">
        <v>14</v>
      </c>
      <c r="AM176">
        <f t="shared" si="47"/>
        <v>75.627389064317768</v>
      </c>
      <c r="AN176">
        <f t="shared" si="51"/>
        <v>6275.3033072959943</v>
      </c>
      <c r="AO176">
        <f t="shared" si="52"/>
        <v>4762.689047698188</v>
      </c>
      <c r="AP176">
        <f t="shared" si="53"/>
        <v>816.34535482798731</v>
      </c>
      <c r="AQ176">
        <f t="shared" si="54"/>
        <v>502.78377929200599</v>
      </c>
      <c r="AR176">
        <f t="shared" si="55"/>
        <v>696.26890476981885</v>
      </c>
      <c r="AS176">
        <f t="shared" si="56"/>
        <v>1.3128058240840197</v>
      </c>
      <c r="AT176">
        <f t="shared" si="57"/>
        <v>17.502088554720132</v>
      </c>
      <c r="AU176">
        <f t="shared" si="58"/>
        <v>8.4894791901161319</v>
      </c>
      <c r="AV176">
        <f t="shared" si="59"/>
        <v>8.0121032350331713</v>
      </c>
      <c r="AW176">
        <f t="shared" si="60"/>
        <v>13.008858932425811</v>
      </c>
      <c r="AX176">
        <f t="shared" si="61"/>
        <v>11.095382496656383</v>
      </c>
      <c r="AY176">
        <f t="shared" si="62"/>
        <v>4710.6265876375946</v>
      </c>
      <c r="AZ176">
        <f t="shared" si="63"/>
        <v>532.7405683895629</v>
      </c>
      <c r="BA176">
        <f t="shared" si="64"/>
        <v>24.372610935682232</v>
      </c>
      <c r="BB176" t="s">
        <v>16</v>
      </c>
      <c r="BC176" t="s">
        <v>16</v>
      </c>
      <c r="BD176">
        <v>167.58</v>
      </c>
      <c r="BE176">
        <v>120.34</v>
      </c>
      <c r="BF176">
        <v>91.01</v>
      </c>
      <c r="BG176">
        <v>29.33</v>
      </c>
      <c r="BH176">
        <v>2.2000000000000002</v>
      </c>
      <c r="BI176">
        <v>977876</v>
      </c>
      <c r="BJ176">
        <v>573142</v>
      </c>
      <c r="BK176">
        <v>60505</v>
      </c>
      <c r="BL176">
        <v>29774</v>
      </c>
      <c r="BM176">
        <v>2374</v>
      </c>
      <c r="BN176">
        <v>64110</v>
      </c>
      <c r="BO176">
        <v>1981</v>
      </c>
      <c r="BP176">
        <v>20989</v>
      </c>
      <c r="BQ176">
        <v>2295</v>
      </c>
      <c r="BR176">
        <v>222530</v>
      </c>
      <c r="BS176" t="s">
        <v>21</v>
      </c>
      <c r="BT176" t="s">
        <v>611</v>
      </c>
      <c r="BU176">
        <v>0.2</v>
      </c>
      <c r="BV176">
        <v>4</v>
      </c>
      <c r="BW176">
        <v>1.6</v>
      </c>
      <c r="BX176">
        <v>0.2</v>
      </c>
      <c r="BY176">
        <v>195.8</v>
      </c>
      <c r="BZ176">
        <v>298.7</v>
      </c>
      <c r="CA176">
        <v>1</v>
      </c>
      <c r="CB176">
        <v>1</v>
      </c>
      <c r="CC176">
        <v>0</v>
      </c>
      <c r="CD176">
        <f t="shared" si="65"/>
        <v>0.3444928021426179</v>
      </c>
      <c r="CE176">
        <v>1</v>
      </c>
    </row>
    <row r="177" spans="1:83" x14ac:dyDescent="0.4">
      <c r="A177" t="s">
        <v>1124</v>
      </c>
      <c r="B177" t="s">
        <v>34</v>
      </c>
      <c r="C177" t="s">
        <v>34</v>
      </c>
      <c r="D177" t="s">
        <v>34</v>
      </c>
      <c r="E177" t="s">
        <v>49</v>
      </c>
      <c r="F177" t="s">
        <v>32</v>
      </c>
      <c r="G177">
        <v>60</v>
      </c>
      <c r="H177">
        <v>24</v>
      </c>
      <c r="I177">
        <v>18</v>
      </c>
      <c r="J177">
        <f t="shared" si="48"/>
        <v>42</v>
      </c>
      <c r="K177">
        <f t="shared" si="49"/>
        <v>6</v>
      </c>
      <c r="L177">
        <v>36</v>
      </c>
      <c r="M177">
        <v>17.899999999999999</v>
      </c>
      <c r="N177" t="s">
        <v>614</v>
      </c>
      <c r="O177" t="s">
        <v>615</v>
      </c>
      <c r="P177" t="s">
        <v>13</v>
      </c>
      <c r="Q177">
        <v>0.2</v>
      </c>
      <c r="R177" t="s">
        <v>13</v>
      </c>
      <c r="S177" t="s">
        <v>15</v>
      </c>
      <c r="T177" t="s">
        <v>14</v>
      </c>
      <c r="U177">
        <v>5</v>
      </c>
      <c r="V177" t="s">
        <v>14</v>
      </c>
      <c r="W177">
        <v>0</v>
      </c>
      <c r="X177" t="s">
        <v>14</v>
      </c>
      <c r="Y177" t="s">
        <v>14</v>
      </c>
      <c r="Z177">
        <v>10</v>
      </c>
      <c r="AA177">
        <f t="shared" si="44"/>
        <v>423.36134453781511</v>
      </c>
      <c r="AB177">
        <f t="shared" si="45"/>
        <v>4.3697478991596634</v>
      </c>
      <c r="AC177">
        <f t="shared" si="46"/>
        <v>4.3697478991596634</v>
      </c>
      <c r="AD177" t="s">
        <v>36</v>
      </c>
      <c r="AE177" t="s">
        <v>15</v>
      </c>
      <c r="AF177" t="s">
        <v>18</v>
      </c>
      <c r="AG177" t="s">
        <v>14</v>
      </c>
      <c r="AH177" t="s">
        <v>14</v>
      </c>
      <c r="AI177" t="s">
        <v>14</v>
      </c>
      <c r="AJ177" t="s">
        <v>14</v>
      </c>
      <c r="AK177" t="s">
        <v>14</v>
      </c>
      <c r="AL177" t="s">
        <v>14</v>
      </c>
      <c r="AM177">
        <f t="shared" si="47"/>
        <v>100</v>
      </c>
      <c r="AN177">
        <f t="shared" si="51"/>
        <v>3434.6153846153843</v>
      </c>
      <c r="AO177">
        <f t="shared" si="52"/>
        <v>1734.6153846153845</v>
      </c>
      <c r="AP177">
        <f t="shared" si="53"/>
        <v>1569.2307692307693</v>
      </c>
      <c r="AQ177">
        <f t="shared" si="54"/>
        <v>42.307692307692307</v>
      </c>
      <c r="AR177">
        <f t="shared" si="55"/>
        <v>130.76923076923077</v>
      </c>
      <c r="AS177">
        <f t="shared" si="56"/>
        <v>47.731092436974791</v>
      </c>
      <c r="AT177">
        <f t="shared" si="57"/>
        <v>0.16806722689075629</v>
      </c>
      <c r="AU177">
        <f t="shared" si="58"/>
        <v>14.44568868980963</v>
      </c>
      <c r="AV177">
        <f t="shared" si="59"/>
        <v>1.2318029115341544</v>
      </c>
      <c r="AW177">
        <f t="shared" si="60"/>
        <v>45.688689809630461</v>
      </c>
      <c r="AX177">
        <f t="shared" si="61"/>
        <v>3.807390817469205</v>
      </c>
      <c r="AY177">
        <f t="shared" si="62"/>
        <v>285.76449912126537</v>
      </c>
      <c r="AZ177">
        <f t="shared" si="63"/>
        <v>496.15384615384613</v>
      </c>
      <c r="BA177">
        <f t="shared" si="64"/>
        <v>3.8461538461538458</v>
      </c>
      <c r="BB177" t="s">
        <v>33</v>
      </c>
      <c r="BC177" t="s">
        <v>33</v>
      </c>
      <c r="BD177">
        <v>5.95</v>
      </c>
      <c r="BE177">
        <v>0.26</v>
      </c>
      <c r="BF177">
        <v>0.26</v>
      </c>
      <c r="BG177">
        <v>0.01</v>
      </c>
      <c r="BH177">
        <v>2.84</v>
      </c>
      <c r="BI177">
        <v>2519</v>
      </c>
      <c r="BJ177">
        <v>451</v>
      </c>
      <c r="BK177">
        <v>11</v>
      </c>
      <c r="BL177">
        <v>241</v>
      </c>
      <c r="BM177">
        <v>8</v>
      </c>
      <c r="BN177">
        <v>129</v>
      </c>
      <c r="BO177">
        <v>30</v>
      </c>
      <c r="BP177">
        <v>3</v>
      </c>
      <c r="BQ177">
        <v>20</v>
      </c>
      <c r="BR177">
        <v>1626</v>
      </c>
      <c r="BS177" t="s">
        <v>44</v>
      </c>
      <c r="BT177" t="s">
        <v>172</v>
      </c>
      <c r="BU177">
        <v>0</v>
      </c>
      <c r="BV177">
        <v>0</v>
      </c>
      <c r="BW177">
        <v>0</v>
      </c>
      <c r="BX177">
        <v>0</v>
      </c>
      <c r="BY177">
        <v>32.6</v>
      </c>
      <c r="BZ177">
        <v>32.700000000000003</v>
      </c>
      <c r="CA177">
        <v>0</v>
      </c>
      <c r="CB177">
        <v>0</v>
      </c>
      <c r="CC177">
        <v>0</v>
      </c>
      <c r="CD177">
        <f t="shared" si="65"/>
        <v>3.0581039755351869E-3</v>
      </c>
      <c r="CE177">
        <v>0</v>
      </c>
    </row>
    <row r="178" spans="1:83" x14ac:dyDescent="0.4">
      <c r="A178" t="s">
        <v>1125</v>
      </c>
      <c r="B178" t="s">
        <v>34</v>
      </c>
      <c r="C178" t="s">
        <v>34</v>
      </c>
      <c r="D178" t="s">
        <v>34</v>
      </c>
      <c r="E178" t="s">
        <v>49</v>
      </c>
      <c r="F178" t="s">
        <v>32</v>
      </c>
      <c r="G178">
        <v>60</v>
      </c>
      <c r="H178">
        <v>71</v>
      </c>
      <c r="I178">
        <v>39.5</v>
      </c>
      <c r="J178">
        <f t="shared" si="48"/>
        <v>20.5</v>
      </c>
      <c r="K178">
        <f t="shared" si="49"/>
        <v>31.5</v>
      </c>
      <c r="L178">
        <v>-11</v>
      </c>
      <c r="M178">
        <v>39.659999999999997</v>
      </c>
      <c r="N178" t="s">
        <v>616</v>
      </c>
      <c r="O178" t="s">
        <v>617</v>
      </c>
      <c r="P178" t="s">
        <v>13</v>
      </c>
      <c r="Q178">
        <v>0.1</v>
      </c>
      <c r="R178" t="s">
        <v>13</v>
      </c>
      <c r="S178" t="s">
        <v>15</v>
      </c>
      <c r="T178" t="s">
        <v>14</v>
      </c>
      <c r="U178">
        <v>2.5</v>
      </c>
      <c r="V178" t="s">
        <v>14</v>
      </c>
      <c r="W178">
        <v>0</v>
      </c>
      <c r="X178" t="s">
        <v>14</v>
      </c>
      <c r="Y178" t="s">
        <v>14</v>
      </c>
      <c r="Z178">
        <v>0</v>
      </c>
      <c r="AA178">
        <f t="shared" si="44"/>
        <v>1017.2266666666667</v>
      </c>
      <c r="AB178">
        <f t="shared" si="45"/>
        <v>9.706666666666667</v>
      </c>
      <c r="AC178">
        <f t="shared" si="46"/>
        <v>9.1733333333333338</v>
      </c>
      <c r="AD178" t="s">
        <v>36</v>
      </c>
      <c r="AE178" t="s">
        <v>15</v>
      </c>
      <c r="AF178" t="s">
        <v>18</v>
      </c>
      <c r="AG178" t="s">
        <v>14</v>
      </c>
      <c r="AH178" t="s">
        <v>14</v>
      </c>
      <c r="AI178" t="s">
        <v>14</v>
      </c>
      <c r="AJ178" t="s">
        <v>14</v>
      </c>
      <c r="AK178" t="s">
        <v>14</v>
      </c>
      <c r="AL178" t="s">
        <v>14</v>
      </c>
      <c r="AM178">
        <f t="shared" si="47"/>
        <v>94.505494505494497</v>
      </c>
      <c r="AN178">
        <f t="shared" si="51"/>
        <v>4989.0109890109889</v>
      </c>
      <c r="AO178">
        <f t="shared" si="52"/>
        <v>4156.5934065934061</v>
      </c>
      <c r="AP178">
        <f t="shared" si="53"/>
        <v>629.12087912087907</v>
      </c>
      <c r="AQ178">
        <f t="shared" si="54"/>
        <v>79.670329670329664</v>
      </c>
      <c r="AR178">
        <f t="shared" si="55"/>
        <v>203.2967032967033</v>
      </c>
      <c r="AS178">
        <f t="shared" si="56"/>
        <v>52.16</v>
      </c>
      <c r="AT178">
        <f t="shared" si="57"/>
        <v>0.53333333333333333</v>
      </c>
      <c r="AU178">
        <f t="shared" si="58"/>
        <v>4.1740088105726869</v>
      </c>
      <c r="AV178">
        <f t="shared" si="59"/>
        <v>1.5969162995594715</v>
      </c>
      <c r="AW178">
        <f t="shared" si="60"/>
        <v>12.610132158590309</v>
      </c>
      <c r="AX178">
        <f t="shared" si="61"/>
        <v>4.0748898678414101</v>
      </c>
      <c r="AY178">
        <f t="shared" si="62"/>
        <v>589.72238629651508</v>
      </c>
      <c r="AZ178">
        <f t="shared" si="63"/>
        <v>208.24175824175825</v>
      </c>
      <c r="BA178">
        <f t="shared" si="64"/>
        <v>5.4945054945054945</v>
      </c>
      <c r="BB178" t="s">
        <v>33</v>
      </c>
      <c r="BC178" t="s">
        <v>33</v>
      </c>
      <c r="BD178">
        <v>18.75</v>
      </c>
      <c r="BE178">
        <v>1.82</v>
      </c>
      <c r="BF178">
        <v>1.72</v>
      </c>
      <c r="BG178">
        <v>0.1</v>
      </c>
      <c r="BH178">
        <v>9.7799999999999994</v>
      </c>
      <c r="BI178">
        <v>19073</v>
      </c>
      <c r="BJ178">
        <v>7565</v>
      </c>
      <c r="BK178">
        <v>145</v>
      </c>
      <c r="BL178">
        <v>658</v>
      </c>
      <c r="BM178">
        <v>27</v>
      </c>
      <c r="BN178">
        <v>379</v>
      </c>
      <c r="BO178">
        <v>81</v>
      </c>
      <c r="BP178">
        <v>63</v>
      </c>
      <c r="BQ178">
        <v>162</v>
      </c>
      <c r="BR178">
        <v>9984</v>
      </c>
      <c r="BS178" t="s">
        <v>21</v>
      </c>
      <c r="BT178" t="s">
        <v>483</v>
      </c>
      <c r="BU178">
        <v>0</v>
      </c>
      <c r="BV178">
        <v>0</v>
      </c>
      <c r="BW178">
        <v>0</v>
      </c>
      <c r="BX178">
        <v>0</v>
      </c>
      <c r="BY178">
        <v>25.7</v>
      </c>
      <c r="BZ178">
        <v>25.8</v>
      </c>
      <c r="CA178">
        <v>0</v>
      </c>
      <c r="CB178">
        <v>0</v>
      </c>
      <c r="CC178">
        <v>0</v>
      </c>
      <c r="CD178">
        <f t="shared" si="65"/>
        <v>3.8759689922480689E-3</v>
      </c>
      <c r="CE178">
        <v>0</v>
      </c>
    </row>
    <row r="179" spans="1:83" x14ac:dyDescent="0.4">
      <c r="A179" t="s">
        <v>1126</v>
      </c>
      <c r="B179" t="s">
        <v>66</v>
      </c>
      <c r="C179" t="s">
        <v>82</v>
      </c>
      <c r="D179" t="s">
        <v>82</v>
      </c>
      <c r="E179" t="s">
        <v>49</v>
      </c>
      <c r="F179" t="s">
        <v>32</v>
      </c>
      <c r="G179">
        <v>30</v>
      </c>
      <c r="H179">
        <v>57</v>
      </c>
      <c r="I179">
        <v>30.5</v>
      </c>
      <c r="J179">
        <f t="shared" si="48"/>
        <v>-0.5</v>
      </c>
      <c r="K179">
        <f t="shared" si="49"/>
        <v>26.5</v>
      </c>
      <c r="L179">
        <v>-27</v>
      </c>
      <c r="M179">
        <v>30.49</v>
      </c>
      <c r="N179" t="s">
        <v>619</v>
      </c>
      <c r="O179" t="s">
        <v>620</v>
      </c>
      <c r="P179" t="s">
        <v>13</v>
      </c>
      <c r="Q179">
        <v>0</v>
      </c>
      <c r="R179" t="s">
        <v>13</v>
      </c>
      <c r="S179" t="s">
        <v>15</v>
      </c>
      <c r="T179" t="s">
        <v>14</v>
      </c>
      <c r="U179">
        <v>2.5</v>
      </c>
      <c r="V179" t="s">
        <v>14</v>
      </c>
      <c r="W179">
        <v>0</v>
      </c>
      <c r="X179" t="s">
        <v>14</v>
      </c>
      <c r="Y179" t="s">
        <v>14</v>
      </c>
      <c r="Z179">
        <v>0</v>
      </c>
      <c r="AA179">
        <f t="shared" si="44"/>
        <v>2783.9517455675377</v>
      </c>
      <c r="AB179">
        <f t="shared" si="45"/>
        <v>17.346006214585998</v>
      </c>
      <c r="AC179">
        <f t="shared" si="46"/>
        <v>16.084810820690919</v>
      </c>
      <c r="AD179" t="s">
        <v>36</v>
      </c>
      <c r="AE179" t="s">
        <v>15</v>
      </c>
      <c r="AF179" t="s">
        <v>18</v>
      </c>
      <c r="AG179" t="s">
        <v>14</v>
      </c>
      <c r="AH179" t="s">
        <v>14</v>
      </c>
      <c r="AI179" t="s">
        <v>14</v>
      </c>
      <c r="AJ179" t="s">
        <v>14</v>
      </c>
      <c r="AK179" t="s">
        <v>14</v>
      </c>
      <c r="AL179" t="s">
        <v>14</v>
      </c>
      <c r="AM179">
        <f t="shared" si="47"/>
        <v>92.729188619599583</v>
      </c>
      <c r="AN179">
        <f t="shared" si="51"/>
        <v>7299.3677555321392</v>
      </c>
      <c r="AO179">
        <f t="shared" si="52"/>
        <v>4893.3614330874607</v>
      </c>
      <c r="AP179">
        <f t="shared" si="53"/>
        <v>1888.7249736564804</v>
      </c>
      <c r="AQ179">
        <f t="shared" si="54"/>
        <v>107.48155953635406</v>
      </c>
      <c r="AR179">
        <f t="shared" si="55"/>
        <v>517.2813487881981</v>
      </c>
      <c r="AS179">
        <f t="shared" si="56"/>
        <v>36.666057393529513</v>
      </c>
      <c r="AT179">
        <f t="shared" si="57"/>
        <v>1.2611953938950831</v>
      </c>
      <c r="AU179">
        <f t="shared" si="58"/>
        <v>12.983788309682263</v>
      </c>
      <c r="AV179">
        <f t="shared" si="59"/>
        <v>1.4724776602041258</v>
      </c>
      <c r="AW179">
        <f t="shared" si="60"/>
        <v>25.875185864214462</v>
      </c>
      <c r="AX179">
        <f t="shared" si="61"/>
        <v>7.0866596411196605</v>
      </c>
      <c r="AY179">
        <f t="shared" si="62"/>
        <v>1835.8469703670942</v>
      </c>
      <c r="AZ179">
        <f t="shared" si="63"/>
        <v>947.73445732349842</v>
      </c>
      <c r="BA179">
        <f t="shared" si="64"/>
        <v>7.2708113804004215</v>
      </c>
      <c r="BB179" t="s">
        <v>33</v>
      </c>
      <c r="BC179" t="s">
        <v>33</v>
      </c>
      <c r="BD179">
        <v>54.71</v>
      </c>
      <c r="BE179">
        <v>9.49</v>
      </c>
      <c r="BF179">
        <v>8.8000000000000007</v>
      </c>
      <c r="BG179">
        <v>0.69</v>
      </c>
      <c r="BH179">
        <v>20.059999999999999</v>
      </c>
      <c r="BI179">
        <v>152310</v>
      </c>
      <c r="BJ179">
        <v>46438</v>
      </c>
      <c r="BK179">
        <v>1020</v>
      </c>
      <c r="BL179">
        <v>8077</v>
      </c>
      <c r="BM179">
        <v>182</v>
      </c>
      <c r="BN179">
        <v>8994</v>
      </c>
      <c r="BO179">
        <v>671</v>
      </c>
      <c r="BP179">
        <v>229</v>
      </c>
      <c r="BQ179">
        <v>3660</v>
      </c>
      <c r="BR179">
        <v>83017</v>
      </c>
      <c r="BS179" t="s">
        <v>21</v>
      </c>
      <c r="BT179" t="s">
        <v>618</v>
      </c>
      <c r="BU179">
        <v>0.1</v>
      </c>
      <c r="BV179">
        <v>0</v>
      </c>
      <c r="BW179">
        <v>0</v>
      </c>
      <c r="BX179">
        <v>0</v>
      </c>
      <c r="BY179">
        <v>56</v>
      </c>
      <c r="BZ179">
        <v>56.1</v>
      </c>
      <c r="CA179">
        <v>0</v>
      </c>
      <c r="CB179">
        <v>0</v>
      </c>
      <c r="CC179">
        <v>0</v>
      </c>
      <c r="CD179">
        <f t="shared" si="65"/>
        <v>1.7825311942959443E-3</v>
      </c>
      <c r="CE179">
        <v>0</v>
      </c>
    </row>
    <row r="180" spans="1:83" x14ac:dyDescent="0.4">
      <c r="A180" t="s">
        <v>1127</v>
      </c>
      <c r="B180" t="s">
        <v>42</v>
      </c>
      <c r="C180" t="s">
        <v>82</v>
      </c>
      <c r="D180" t="s">
        <v>82</v>
      </c>
      <c r="E180" t="s">
        <v>49</v>
      </c>
      <c r="F180" t="s">
        <v>22</v>
      </c>
      <c r="G180">
        <v>60</v>
      </c>
      <c r="H180">
        <v>50</v>
      </c>
      <c r="I180">
        <v>48</v>
      </c>
      <c r="J180">
        <f t="shared" si="48"/>
        <v>12</v>
      </c>
      <c r="K180">
        <f t="shared" si="49"/>
        <v>2</v>
      </c>
      <c r="L180">
        <v>10</v>
      </c>
      <c r="M180">
        <v>48.11</v>
      </c>
      <c r="N180" t="s">
        <v>622</v>
      </c>
      <c r="O180" t="s">
        <v>623</v>
      </c>
      <c r="P180" t="s">
        <v>13</v>
      </c>
      <c r="Q180">
        <v>0.5</v>
      </c>
      <c r="R180" t="s">
        <v>26</v>
      </c>
      <c r="S180" t="s">
        <v>27</v>
      </c>
      <c r="T180" t="s">
        <v>14</v>
      </c>
      <c r="U180">
        <v>25</v>
      </c>
      <c r="V180" t="s">
        <v>17</v>
      </c>
      <c r="W180">
        <f t="shared" si="50"/>
        <v>1</v>
      </c>
      <c r="X180" t="s">
        <v>14</v>
      </c>
      <c r="Y180" t="s">
        <v>14</v>
      </c>
      <c r="Z180">
        <v>10</v>
      </c>
      <c r="AA180">
        <f t="shared" si="44"/>
        <v>3821.709974853311</v>
      </c>
      <c r="AB180">
        <f t="shared" si="45"/>
        <v>78.876781223805537</v>
      </c>
      <c r="AC180">
        <f t="shared" si="46"/>
        <v>42.682313495389778</v>
      </c>
      <c r="AD180" t="s">
        <v>27</v>
      </c>
      <c r="AE180" t="s">
        <v>27</v>
      </c>
      <c r="AF180" t="s">
        <v>18</v>
      </c>
      <c r="AG180" t="s">
        <v>14</v>
      </c>
      <c r="AH180" t="s">
        <v>14</v>
      </c>
      <c r="AI180" t="s">
        <v>41</v>
      </c>
      <c r="AJ180" t="s">
        <v>14</v>
      </c>
      <c r="AK180" t="s">
        <v>14</v>
      </c>
      <c r="AL180" t="s">
        <v>14</v>
      </c>
      <c r="AM180">
        <f t="shared" si="47"/>
        <v>54.112646121147719</v>
      </c>
      <c r="AN180">
        <f t="shared" si="51"/>
        <v>4327.6514346439963</v>
      </c>
      <c r="AO180">
        <f t="shared" si="52"/>
        <v>2331.2433581296496</v>
      </c>
      <c r="AP180">
        <f t="shared" si="53"/>
        <v>821.25398512221045</v>
      </c>
      <c r="AQ180">
        <f t="shared" si="54"/>
        <v>842.08289054197667</v>
      </c>
      <c r="AR180">
        <f t="shared" si="55"/>
        <v>1175.154091392136</v>
      </c>
      <c r="AS180">
        <f t="shared" si="56"/>
        <v>7.4098910310142498</v>
      </c>
      <c r="AT180">
        <f t="shared" si="57"/>
        <v>36.194467728415759</v>
      </c>
      <c r="AU180">
        <f t="shared" si="58"/>
        <v>10.548778092094924</v>
      </c>
      <c r="AV180">
        <f t="shared" si="59"/>
        <v>19.45819581958196</v>
      </c>
      <c r="AW180">
        <f t="shared" si="60"/>
        <v>18.976897689768975</v>
      </c>
      <c r="AX180">
        <f t="shared" si="61"/>
        <v>27.154545811724031</v>
      </c>
      <c r="AY180">
        <f t="shared" si="62"/>
        <v>1842.4603174603174</v>
      </c>
      <c r="AZ180">
        <f t="shared" si="63"/>
        <v>456.51434643995754</v>
      </c>
      <c r="BA180">
        <f t="shared" si="64"/>
        <v>45.887353878852288</v>
      </c>
      <c r="BB180" t="s">
        <v>16</v>
      </c>
      <c r="BC180" t="s">
        <v>16</v>
      </c>
      <c r="BD180">
        <v>59.65</v>
      </c>
      <c r="BE180">
        <v>47.05</v>
      </c>
      <c r="BF180">
        <v>25.46</v>
      </c>
      <c r="BG180">
        <v>21.59</v>
      </c>
      <c r="BH180">
        <v>4.42</v>
      </c>
      <c r="BI180">
        <v>227965</v>
      </c>
      <c r="BJ180">
        <v>109685</v>
      </c>
      <c r="BK180">
        <v>39620</v>
      </c>
      <c r="BL180">
        <v>7734</v>
      </c>
      <c r="BM180">
        <v>1366</v>
      </c>
      <c r="BN180">
        <v>21479</v>
      </c>
      <c r="BO180">
        <v>8061</v>
      </c>
      <c r="BP180">
        <v>9216</v>
      </c>
      <c r="BQ180">
        <v>6455</v>
      </c>
      <c r="BR180">
        <v>23215</v>
      </c>
      <c r="BS180" t="s">
        <v>21</v>
      </c>
      <c r="BT180" t="s">
        <v>621</v>
      </c>
      <c r="BU180">
        <v>0</v>
      </c>
      <c r="BV180">
        <v>0.4</v>
      </c>
      <c r="BW180">
        <v>0</v>
      </c>
      <c r="BX180">
        <v>3.6</v>
      </c>
      <c r="BY180">
        <v>68.7</v>
      </c>
      <c r="BZ180">
        <v>71.900000000000006</v>
      </c>
      <c r="CA180">
        <v>1</v>
      </c>
      <c r="CB180">
        <v>1</v>
      </c>
      <c r="CC180">
        <v>0</v>
      </c>
      <c r="CD180">
        <f t="shared" si="65"/>
        <v>4.4506258692628697E-2</v>
      </c>
      <c r="CE180">
        <v>1</v>
      </c>
    </row>
    <row r="181" spans="1:83" x14ac:dyDescent="0.4">
      <c r="A181" t="s">
        <v>1128</v>
      </c>
      <c r="B181" t="s">
        <v>25</v>
      </c>
      <c r="C181" t="s">
        <v>82</v>
      </c>
      <c r="D181" t="s">
        <v>82</v>
      </c>
      <c r="E181" t="s">
        <v>49</v>
      </c>
      <c r="F181" t="s">
        <v>22</v>
      </c>
      <c r="G181">
        <v>40</v>
      </c>
      <c r="H181">
        <v>32</v>
      </c>
      <c r="I181">
        <v>36.5</v>
      </c>
      <c r="J181">
        <f t="shared" si="48"/>
        <v>3.5</v>
      </c>
      <c r="K181">
        <f t="shared" si="49"/>
        <v>-4.5</v>
      </c>
      <c r="L181">
        <v>8</v>
      </c>
      <c r="M181">
        <v>36.29</v>
      </c>
      <c r="N181" t="s">
        <v>624</v>
      </c>
      <c r="O181" t="s">
        <v>625</v>
      </c>
      <c r="P181" t="s">
        <v>13</v>
      </c>
      <c r="Q181">
        <v>0.2</v>
      </c>
      <c r="R181" t="s">
        <v>13</v>
      </c>
      <c r="S181" t="s">
        <v>15</v>
      </c>
      <c r="T181" t="s">
        <v>14</v>
      </c>
      <c r="U181">
        <v>7.5</v>
      </c>
      <c r="V181" t="s">
        <v>14</v>
      </c>
      <c r="W181">
        <f t="shared" si="50"/>
        <v>0.33333333333333331</v>
      </c>
      <c r="X181" t="s">
        <v>14</v>
      </c>
      <c r="Y181" t="s">
        <v>14</v>
      </c>
      <c r="Z181">
        <v>5</v>
      </c>
      <c r="AA181">
        <f t="shared" si="44"/>
        <v>4457.4712643678158</v>
      </c>
      <c r="AB181">
        <f t="shared" si="45"/>
        <v>84.072249589490966</v>
      </c>
      <c r="AC181">
        <f t="shared" si="46"/>
        <v>27.093596059113302</v>
      </c>
      <c r="AD181" t="s">
        <v>15</v>
      </c>
      <c r="AE181" t="s">
        <v>27</v>
      </c>
      <c r="AF181" t="s">
        <v>24</v>
      </c>
      <c r="AG181" t="s">
        <v>14</v>
      </c>
      <c r="AH181" t="s">
        <v>14</v>
      </c>
      <c r="AI181" t="s">
        <v>18</v>
      </c>
      <c r="AJ181" t="s">
        <v>14</v>
      </c>
      <c r="AK181" t="s">
        <v>14</v>
      </c>
      <c r="AL181" t="s">
        <v>14</v>
      </c>
      <c r="AM181">
        <f t="shared" si="47"/>
        <v>32.2265625</v>
      </c>
      <c r="AN181">
        <f t="shared" si="51"/>
        <v>5107.8125</v>
      </c>
      <c r="AO181">
        <f t="shared" si="52"/>
        <v>1924.21875</v>
      </c>
      <c r="AP181">
        <f t="shared" si="53"/>
        <v>703.3203125</v>
      </c>
      <c r="AQ181">
        <f t="shared" si="54"/>
        <v>2314.453125</v>
      </c>
      <c r="AR181">
        <f t="shared" si="55"/>
        <v>2480.2734375</v>
      </c>
      <c r="AS181">
        <f t="shared" si="56"/>
        <v>1.3136288998357963</v>
      </c>
      <c r="AT181">
        <f t="shared" si="57"/>
        <v>56.814449917898195</v>
      </c>
      <c r="AU181">
        <f t="shared" si="58"/>
        <v>8.9094524319363728</v>
      </c>
      <c r="AV181">
        <f t="shared" si="59"/>
        <v>45.312022025084126</v>
      </c>
      <c r="AW181">
        <f t="shared" si="60"/>
        <v>13.769501376567758</v>
      </c>
      <c r="AX181">
        <f t="shared" si="61"/>
        <v>48.558427653716734</v>
      </c>
      <c r="AY181">
        <f t="shared" si="62"/>
        <v>1008.2474226804127</v>
      </c>
      <c r="AZ181">
        <f t="shared" si="63"/>
        <v>455.078125</v>
      </c>
      <c r="BA181">
        <f t="shared" si="64"/>
        <v>67.578125</v>
      </c>
      <c r="BB181" t="s">
        <v>30</v>
      </c>
      <c r="BC181" t="s">
        <v>16</v>
      </c>
      <c r="BD181">
        <v>6.09</v>
      </c>
      <c r="BE181">
        <v>5.12</v>
      </c>
      <c r="BF181">
        <v>1.65</v>
      </c>
      <c r="BG181">
        <v>3.46</v>
      </c>
      <c r="BH181">
        <v>0.08</v>
      </c>
      <c r="BI181">
        <v>27146</v>
      </c>
      <c r="BJ181">
        <v>9852</v>
      </c>
      <c r="BK181">
        <v>11850</v>
      </c>
      <c r="BL181">
        <v>485</v>
      </c>
      <c r="BM181">
        <v>237</v>
      </c>
      <c r="BN181">
        <v>2330</v>
      </c>
      <c r="BO181">
        <v>549</v>
      </c>
      <c r="BP181">
        <v>696</v>
      </c>
      <c r="BQ181">
        <v>153</v>
      </c>
      <c r="BR181">
        <v>978</v>
      </c>
      <c r="BS181" t="s">
        <v>21</v>
      </c>
      <c r="BT181" t="s">
        <v>202</v>
      </c>
      <c r="BU181">
        <v>0</v>
      </c>
      <c r="BV181">
        <v>0.1</v>
      </c>
      <c r="BW181">
        <v>0</v>
      </c>
      <c r="BX181">
        <v>2.7</v>
      </c>
      <c r="BY181">
        <v>7.5</v>
      </c>
      <c r="BZ181">
        <v>7.8</v>
      </c>
      <c r="CA181">
        <v>3</v>
      </c>
      <c r="CB181">
        <v>1</v>
      </c>
      <c r="CC181">
        <v>0</v>
      </c>
      <c r="CD181">
        <f t="shared" si="65"/>
        <v>3.8461538461538436E-2</v>
      </c>
      <c r="CE181">
        <v>0.33333333333333331</v>
      </c>
    </row>
    <row r="182" spans="1:83" x14ac:dyDescent="0.4">
      <c r="A182" t="s">
        <v>1129</v>
      </c>
      <c r="B182" t="s">
        <v>34</v>
      </c>
      <c r="C182" t="s">
        <v>34</v>
      </c>
      <c r="D182" t="s">
        <v>34</v>
      </c>
      <c r="E182" t="s">
        <v>49</v>
      </c>
      <c r="F182" t="s">
        <v>32</v>
      </c>
      <c r="G182">
        <v>70</v>
      </c>
      <c r="H182">
        <v>95</v>
      </c>
      <c r="I182">
        <v>64.5</v>
      </c>
      <c r="J182">
        <f t="shared" si="48"/>
        <v>5.5</v>
      </c>
      <c r="K182">
        <f t="shared" si="49"/>
        <v>30.5</v>
      </c>
      <c r="L182">
        <v>-25</v>
      </c>
      <c r="M182">
        <v>64.52</v>
      </c>
      <c r="N182" t="s">
        <v>628</v>
      </c>
      <c r="O182" t="s">
        <v>629</v>
      </c>
      <c r="P182" t="s">
        <v>13</v>
      </c>
      <c r="Q182">
        <v>0.6</v>
      </c>
      <c r="R182" t="s">
        <v>13</v>
      </c>
      <c r="S182" t="s">
        <v>15</v>
      </c>
      <c r="T182" t="s">
        <v>14</v>
      </c>
      <c r="U182">
        <v>17.5</v>
      </c>
      <c r="V182" t="s">
        <v>17</v>
      </c>
      <c r="W182">
        <v>0</v>
      </c>
      <c r="X182" t="s">
        <v>14</v>
      </c>
      <c r="Y182" t="s">
        <v>14</v>
      </c>
      <c r="Z182">
        <v>10</v>
      </c>
      <c r="AA182">
        <f t="shared" si="44"/>
        <v>468.59030837004406</v>
      </c>
      <c r="AB182">
        <f t="shared" si="45"/>
        <v>6.2995594713656393</v>
      </c>
      <c r="AC182">
        <f t="shared" si="46"/>
        <v>5.8590308370044051</v>
      </c>
      <c r="AD182" t="s">
        <v>36</v>
      </c>
      <c r="AE182" t="s">
        <v>15</v>
      </c>
      <c r="AF182" t="s">
        <v>18</v>
      </c>
      <c r="AG182" t="s">
        <v>14</v>
      </c>
      <c r="AH182" t="s">
        <v>14</v>
      </c>
      <c r="AI182" t="s">
        <v>14</v>
      </c>
      <c r="AJ182" t="s">
        <v>14</v>
      </c>
      <c r="AK182" t="s">
        <v>14</v>
      </c>
      <c r="AL182" t="s">
        <v>14</v>
      </c>
      <c r="AM182">
        <f t="shared" si="47"/>
        <v>93.006993006993014</v>
      </c>
      <c r="AN182">
        <f t="shared" si="51"/>
        <v>5492.3076923076924</v>
      </c>
      <c r="AO182">
        <f t="shared" si="52"/>
        <v>4799.3006993006993</v>
      </c>
      <c r="AP182">
        <f t="shared" si="53"/>
        <v>518.88111888111894</v>
      </c>
      <c r="AQ182">
        <f t="shared" si="54"/>
        <v>93.706293706293707</v>
      </c>
      <c r="AR182">
        <f t="shared" si="55"/>
        <v>174.12587412587413</v>
      </c>
      <c r="AS182">
        <f t="shared" si="56"/>
        <v>71.365638766519822</v>
      </c>
      <c r="AT182">
        <f t="shared" si="57"/>
        <v>0.48458149779735682</v>
      </c>
      <c r="AU182">
        <f t="shared" si="58"/>
        <v>3.4759358288770055</v>
      </c>
      <c r="AV182">
        <f t="shared" si="59"/>
        <v>1.7061370002546472</v>
      </c>
      <c r="AW182">
        <f t="shared" si="60"/>
        <v>9.4474153297682708</v>
      </c>
      <c r="AX182">
        <f t="shared" si="61"/>
        <v>3.1703590527119938</v>
      </c>
      <c r="AY182">
        <f t="shared" si="62"/>
        <v>130.74753173483779</v>
      </c>
      <c r="AZ182">
        <f t="shared" si="63"/>
        <v>190.90909090909091</v>
      </c>
      <c r="BA182">
        <f t="shared" si="64"/>
        <v>7.6923076923076925</v>
      </c>
      <c r="BB182" t="s">
        <v>33</v>
      </c>
      <c r="BC182" t="s">
        <v>33</v>
      </c>
      <c r="BD182">
        <v>22.7</v>
      </c>
      <c r="BE182">
        <v>1.43</v>
      </c>
      <c r="BF182">
        <v>1.33</v>
      </c>
      <c r="BG182">
        <v>0.11</v>
      </c>
      <c r="BH182">
        <v>16.2</v>
      </c>
      <c r="BI182">
        <v>10637</v>
      </c>
      <c r="BJ182">
        <v>6863</v>
      </c>
      <c r="BK182">
        <v>134</v>
      </c>
      <c r="BL182">
        <v>324</v>
      </c>
      <c r="BM182">
        <v>43</v>
      </c>
      <c r="BN182">
        <v>273</v>
      </c>
      <c r="BO182">
        <v>102</v>
      </c>
      <c r="BP182">
        <v>31</v>
      </c>
      <c r="BQ182">
        <v>84</v>
      </c>
      <c r="BR182">
        <v>2781</v>
      </c>
      <c r="BS182" t="s">
        <v>21</v>
      </c>
      <c r="BT182" t="s">
        <v>627</v>
      </c>
      <c r="BU182">
        <v>0</v>
      </c>
      <c r="BV182">
        <v>0</v>
      </c>
      <c r="BW182">
        <v>0</v>
      </c>
      <c r="BX182">
        <v>0.2</v>
      </c>
      <c r="BY182">
        <v>26.5</v>
      </c>
      <c r="BZ182">
        <v>26.7</v>
      </c>
      <c r="CA182">
        <v>0</v>
      </c>
      <c r="CB182">
        <v>0</v>
      </c>
      <c r="CC182">
        <v>0</v>
      </c>
      <c r="CD182">
        <f t="shared" si="65"/>
        <v>7.4906367041198685E-3</v>
      </c>
      <c r="CE182">
        <v>0</v>
      </c>
    </row>
    <row r="183" spans="1:83" x14ac:dyDescent="0.4">
      <c r="A183" t="s">
        <v>1130</v>
      </c>
      <c r="B183" t="s">
        <v>34</v>
      </c>
      <c r="C183" t="s">
        <v>34</v>
      </c>
      <c r="D183" t="s">
        <v>34</v>
      </c>
      <c r="E183" t="s">
        <v>49</v>
      </c>
      <c r="F183" t="s">
        <v>32</v>
      </c>
      <c r="G183">
        <v>60</v>
      </c>
      <c r="H183">
        <v>55</v>
      </c>
      <c r="I183">
        <v>70</v>
      </c>
      <c r="J183">
        <f t="shared" si="48"/>
        <v>-10</v>
      </c>
      <c r="K183">
        <f t="shared" si="49"/>
        <v>-15</v>
      </c>
      <c r="L183">
        <v>5</v>
      </c>
      <c r="M183">
        <v>70.239999999999995</v>
      </c>
      <c r="N183" t="s">
        <v>631</v>
      </c>
      <c r="O183" t="s">
        <v>632</v>
      </c>
      <c r="P183" t="s">
        <v>13</v>
      </c>
      <c r="Q183">
        <v>0.1</v>
      </c>
      <c r="R183" t="s">
        <v>13</v>
      </c>
      <c r="S183" t="s">
        <v>15</v>
      </c>
      <c r="T183" t="s">
        <v>14</v>
      </c>
      <c r="U183">
        <v>0</v>
      </c>
      <c r="V183" t="s">
        <v>14</v>
      </c>
      <c r="W183">
        <v>0</v>
      </c>
      <c r="X183" t="s">
        <v>14</v>
      </c>
      <c r="Y183" t="s">
        <v>14</v>
      </c>
      <c r="Z183">
        <v>0</v>
      </c>
      <c r="AA183">
        <f t="shared" si="44"/>
        <v>219.86032300305544</v>
      </c>
      <c r="AB183">
        <f t="shared" si="45"/>
        <v>5.4124836316019209</v>
      </c>
      <c r="AC183">
        <f t="shared" si="46"/>
        <v>5.4124836316019209</v>
      </c>
      <c r="AD183" t="s">
        <v>36</v>
      </c>
      <c r="AE183" t="s">
        <v>15</v>
      </c>
      <c r="AF183" t="s">
        <v>18</v>
      </c>
      <c r="AG183" t="s">
        <v>14</v>
      </c>
      <c r="AH183" t="s">
        <v>14</v>
      </c>
      <c r="AI183" t="s">
        <v>14</v>
      </c>
      <c r="AJ183" t="s">
        <v>14</v>
      </c>
      <c r="AK183" t="s">
        <v>14</v>
      </c>
      <c r="AL183" t="s">
        <v>14</v>
      </c>
      <c r="AM183">
        <f t="shared" si="47"/>
        <v>100</v>
      </c>
      <c r="AN183">
        <f t="shared" si="51"/>
        <v>3263.7096774193546</v>
      </c>
      <c r="AO183">
        <f t="shared" si="52"/>
        <v>2853.2258064516127</v>
      </c>
      <c r="AP183">
        <f t="shared" si="53"/>
        <v>379.03225806451616</v>
      </c>
      <c r="AQ183">
        <f t="shared" si="54"/>
        <v>9.67741935483871</v>
      </c>
      <c r="AR183">
        <f t="shared" si="55"/>
        <v>31.451612903225808</v>
      </c>
      <c r="AS183">
        <f t="shared" si="56"/>
        <v>72.806634657354863</v>
      </c>
      <c r="AT183">
        <f t="shared" si="57"/>
        <v>0</v>
      </c>
      <c r="AU183">
        <f t="shared" si="58"/>
        <v>1.309612058314801</v>
      </c>
      <c r="AV183">
        <f t="shared" si="59"/>
        <v>0.29651593773165308</v>
      </c>
      <c r="AW183">
        <f t="shared" si="60"/>
        <v>11.613540894489745</v>
      </c>
      <c r="AX183">
        <f t="shared" si="61"/>
        <v>0.96367679762787251</v>
      </c>
      <c r="AY183">
        <f t="shared" si="62"/>
        <v>45.639132441162893</v>
      </c>
      <c r="AZ183">
        <f t="shared" si="63"/>
        <v>42.741935483870968</v>
      </c>
      <c r="BA183">
        <f t="shared" si="64"/>
        <v>0</v>
      </c>
      <c r="BB183" t="s">
        <v>33</v>
      </c>
      <c r="BC183" t="s">
        <v>33</v>
      </c>
      <c r="BD183">
        <v>22.91</v>
      </c>
      <c r="BE183">
        <v>1.24</v>
      </c>
      <c r="BF183">
        <v>1.24</v>
      </c>
      <c r="BG183">
        <v>0</v>
      </c>
      <c r="BH183">
        <v>16.68</v>
      </c>
      <c r="BI183">
        <v>5037</v>
      </c>
      <c r="BJ183">
        <v>3538</v>
      </c>
      <c r="BK183">
        <v>12</v>
      </c>
      <c r="BL183">
        <v>378</v>
      </c>
      <c r="BM183">
        <v>14</v>
      </c>
      <c r="BN183">
        <v>53</v>
      </c>
      <c r="BO183">
        <v>25</v>
      </c>
      <c r="BP183">
        <v>5</v>
      </c>
      <c r="BQ183">
        <v>22</v>
      </c>
      <c r="BR183">
        <v>989</v>
      </c>
      <c r="BS183" t="s">
        <v>21</v>
      </c>
      <c r="BT183" t="s">
        <v>630</v>
      </c>
      <c r="BU183">
        <v>0</v>
      </c>
      <c r="BV183">
        <v>0</v>
      </c>
      <c r="BW183">
        <v>0</v>
      </c>
      <c r="BX183">
        <v>0</v>
      </c>
      <c r="BY183">
        <v>33.9</v>
      </c>
      <c r="BZ183">
        <v>33.9</v>
      </c>
      <c r="CA183">
        <v>0</v>
      </c>
      <c r="CB183">
        <v>0</v>
      </c>
      <c r="CC183">
        <v>0</v>
      </c>
      <c r="CD183">
        <f t="shared" si="65"/>
        <v>0</v>
      </c>
      <c r="CE183">
        <v>0</v>
      </c>
    </row>
    <row r="184" spans="1:83" x14ac:dyDescent="0.4">
      <c r="A184" t="s">
        <v>1131</v>
      </c>
      <c r="B184" t="s">
        <v>49</v>
      </c>
      <c r="C184" t="s">
        <v>73</v>
      </c>
      <c r="D184" t="s">
        <v>82</v>
      </c>
      <c r="E184" t="s">
        <v>49</v>
      </c>
      <c r="F184" t="s">
        <v>12</v>
      </c>
      <c r="G184">
        <v>40</v>
      </c>
      <c r="H184">
        <v>19</v>
      </c>
      <c r="I184">
        <v>10.5</v>
      </c>
      <c r="J184">
        <f t="shared" si="48"/>
        <v>29.5</v>
      </c>
      <c r="K184">
        <f t="shared" si="49"/>
        <v>8.5</v>
      </c>
      <c r="L184">
        <v>21</v>
      </c>
      <c r="M184">
        <v>10.62</v>
      </c>
      <c r="N184" t="s">
        <v>634</v>
      </c>
      <c r="O184" t="s">
        <v>635</v>
      </c>
      <c r="P184" t="s">
        <v>13</v>
      </c>
      <c r="Q184">
        <v>0.5</v>
      </c>
      <c r="R184" t="s">
        <v>13</v>
      </c>
      <c r="S184" t="s">
        <v>27</v>
      </c>
      <c r="T184" t="s">
        <v>14</v>
      </c>
      <c r="U184">
        <v>2.5</v>
      </c>
      <c r="V184" t="s">
        <v>14</v>
      </c>
      <c r="W184">
        <f t="shared" si="50"/>
        <v>1</v>
      </c>
      <c r="X184" t="s">
        <v>17</v>
      </c>
      <c r="Y184" t="s">
        <v>14</v>
      </c>
      <c r="Z184">
        <v>0</v>
      </c>
      <c r="AA184">
        <f t="shared" si="44"/>
        <v>3756.1467232823452</v>
      </c>
      <c r="AB184">
        <f t="shared" si="45"/>
        <v>21.665728756330896</v>
      </c>
      <c r="AC184">
        <f t="shared" si="46"/>
        <v>9.2904281987005675</v>
      </c>
      <c r="AD184" t="s">
        <v>15</v>
      </c>
      <c r="AE184" t="s">
        <v>15</v>
      </c>
      <c r="AF184" t="s">
        <v>18</v>
      </c>
      <c r="AG184" t="s">
        <v>14</v>
      </c>
      <c r="AH184" t="s">
        <v>17</v>
      </c>
      <c r="AI184" t="s">
        <v>24</v>
      </c>
      <c r="AJ184" t="s">
        <v>17</v>
      </c>
      <c r="AK184" t="s">
        <v>17</v>
      </c>
      <c r="AL184" t="s">
        <v>14</v>
      </c>
      <c r="AM184">
        <f t="shared" si="47"/>
        <v>42.880755608028331</v>
      </c>
      <c r="AN184">
        <f t="shared" si="51"/>
        <v>4943.5655253837067</v>
      </c>
      <c r="AO184">
        <f t="shared" si="52"/>
        <v>1840.6375442739079</v>
      </c>
      <c r="AP184">
        <f t="shared" si="53"/>
        <v>1923.6599763872491</v>
      </c>
      <c r="AQ184">
        <f t="shared" si="54"/>
        <v>899.48051948051943</v>
      </c>
      <c r="AR184">
        <f t="shared" si="55"/>
        <v>1179.2680047225501</v>
      </c>
      <c r="AS184">
        <f t="shared" si="56"/>
        <v>0.80830818028341944</v>
      </c>
      <c r="AT184">
        <f t="shared" si="57"/>
        <v>12.375300557630327</v>
      </c>
      <c r="AU184">
        <f t="shared" si="58"/>
        <v>18.678830722200992</v>
      </c>
      <c r="AV184">
        <f t="shared" si="59"/>
        <v>18.194975162399693</v>
      </c>
      <c r="AW184">
        <f t="shared" si="60"/>
        <v>38.912399694306458</v>
      </c>
      <c r="AX184">
        <f t="shared" si="61"/>
        <v>23.854604508979747</v>
      </c>
      <c r="AY184">
        <f t="shared" si="62"/>
        <v>3426.351880877743</v>
      </c>
      <c r="AZ184">
        <f t="shared" si="63"/>
        <v>923.40023612750883</v>
      </c>
      <c r="BA184">
        <f t="shared" si="64"/>
        <v>57.119244391971662</v>
      </c>
      <c r="BB184" t="s">
        <v>16</v>
      </c>
      <c r="BC184" t="s">
        <v>16</v>
      </c>
      <c r="BD184">
        <v>195.47</v>
      </c>
      <c r="BE184">
        <v>42.35</v>
      </c>
      <c r="BF184">
        <v>18.16</v>
      </c>
      <c r="BG184">
        <v>24.19</v>
      </c>
      <c r="BH184">
        <v>1.58</v>
      </c>
      <c r="BI184">
        <v>734214</v>
      </c>
      <c r="BJ184">
        <v>77951</v>
      </c>
      <c r="BK184">
        <v>38093</v>
      </c>
      <c r="BL184">
        <v>28417</v>
      </c>
      <c r="BM184">
        <v>11617</v>
      </c>
      <c r="BN184">
        <v>39106</v>
      </c>
      <c r="BO184">
        <v>2327</v>
      </c>
      <c r="BP184">
        <v>9687</v>
      </c>
      <c r="BQ184">
        <v>2162</v>
      </c>
      <c r="BR184">
        <v>524643</v>
      </c>
      <c r="BS184" t="s">
        <v>21</v>
      </c>
      <c r="BT184" t="s">
        <v>633</v>
      </c>
      <c r="BU184">
        <v>0</v>
      </c>
      <c r="BV184">
        <v>0.3</v>
      </c>
      <c r="BW184">
        <v>5</v>
      </c>
      <c r="BX184">
        <v>0.1</v>
      </c>
      <c r="BY184">
        <v>229.1</v>
      </c>
      <c r="BZ184">
        <v>243.7</v>
      </c>
      <c r="CA184">
        <v>1</v>
      </c>
      <c r="CB184">
        <v>1</v>
      </c>
      <c r="CC184">
        <v>0</v>
      </c>
      <c r="CD184">
        <f t="shared" si="65"/>
        <v>5.9909725071809583E-2</v>
      </c>
      <c r="CE184">
        <v>1</v>
      </c>
    </row>
    <row r="185" spans="1:83" x14ac:dyDescent="0.4">
      <c r="A185" t="s">
        <v>1132</v>
      </c>
      <c r="B185" t="s">
        <v>64</v>
      </c>
      <c r="C185" t="s">
        <v>82</v>
      </c>
      <c r="D185" t="s">
        <v>82</v>
      </c>
      <c r="E185" t="s">
        <v>49</v>
      </c>
      <c r="F185" t="s">
        <v>32</v>
      </c>
      <c r="G185">
        <v>30</v>
      </c>
      <c r="H185">
        <v>38</v>
      </c>
      <c r="I185">
        <v>39</v>
      </c>
      <c r="J185">
        <f t="shared" si="48"/>
        <v>-9</v>
      </c>
      <c r="K185">
        <f t="shared" si="49"/>
        <v>-1</v>
      </c>
      <c r="L185">
        <v>-8</v>
      </c>
      <c r="M185">
        <v>39.06</v>
      </c>
      <c r="N185" t="s">
        <v>637</v>
      </c>
      <c r="O185" t="s">
        <v>638</v>
      </c>
      <c r="P185" t="s">
        <v>13</v>
      </c>
      <c r="Q185">
        <v>0</v>
      </c>
      <c r="R185" t="s">
        <v>13</v>
      </c>
      <c r="S185" t="s">
        <v>15</v>
      </c>
      <c r="T185" t="s">
        <v>14</v>
      </c>
      <c r="U185">
        <v>0</v>
      </c>
      <c r="V185" t="s">
        <v>14</v>
      </c>
      <c r="W185">
        <v>0</v>
      </c>
      <c r="X185" t="s">
        <v>14</v>
      </c>
      <c r="Y185" t="s">
        <v>14</v>
      </c>
      <c r="Z185">
        <v>0</v>
      </c>
      <c r="AA185">
        <f t="shared" si="44"/>
        <v>4662.4001206090761</v>
      </c>
      <c r="AB185">
        <f t="shared" si="45"/>
        <v>70.028644655510334</v>
      </c>
      <c r="AC185">
        <f t="shared" si="46"/>
        <v>56.339514548469765</v>
      </c>
      <c r="AD185" t="s">
        <v>27</v>
      </c>
      <c r="AE185" t="s">
        <v>15</v>
      </c>
      <c r="AF185" t="s">
        <v>18</v>
      </c>
      <c r="AG185" t="s">
        <v>14</v>
      </c>
      <c r="AH185" t="s">
        <v>14</v>
      </c>
      <c r="AI185" t="s">
        <v>14</v>
      </c>
      <c r="AJ185" t="s">
        <v>14</v>
      </c>
      <c r="AK185" t="s">
        <v>14</v>
      </c>
      <c r="AL185" t="s">
        <v>14</v>
      </c>
      <c r="AM185">
        <f t="shared" si="47"/>
        <v>80.452099031216349</v>
      </c>
      <c r="AN185">
        <f t="shared" si="51"/>
        <v>6473.2400430570506</v>
      </c>
      <c r="AO185">
        <f t="shared" si="52"/>
        <v>2600.236813778256</v>
      </c>
      <c r="AP185">
        <f t="shared" si="53"/>
        <v>3804.3057050592033</v>
      </c>
      <c r="AQ185">
        <f t="shared" si="54"/>
        <v>3.7890204520990309</v>
      </c>
      <c r="AR185">
        <f t="shared" si="55"/>
        <v>68.69752421959096</v>
      </c>
      <c r="AS185">
        <f t="shared" si="56"/>
        <v>24.815317352630785</v>
      </c>
      <c r="AT185">
        <f t="shared" si="57"/>
        <v>13.674053972561435</v>
      </c>
      <c r="AU185">
        <f t="shared" si="58"/>
        <v>37.618148076705623</v>
      </c>
      <c r="AV185">
        <f t="shared" si="59"/>
        <v>5.8533600282025526E-2</v>
      </c>
      <c r="AW185">
        <f t="shared" si="60"/>
        <v>58.76973014679961</v>
      </c>
      <c r="AX185">
        <f t="shared" si="61"/>
        <v>1.0612540823860424</v>
      </c>
      <c r="AY185">
        <f t="shared" si="62"/>
        <v>420.17102615694176</v>
      </c>
      <c r="AZ185">
        <f t="shared" si="63"/>
        <v>2435.1130247578039</v>
      </c>
      <c r="BA185">
        <f t="shared" si="64"/>
        <v>19.52637244348762</v>
      </c>
      <c r="BB185" t="s">
        <v>33</v>
      </c>
      <c r="BC185" t="s">
        <v>33</v>
      </c>
      <c r="BD185">
        <v>66.33</v>
      </c>
      <c r="BE185">
        <v>46.45</v>
      </c>
      <c r="BF185">
        <v>37.369999999999997</v>
      </c>
      <c r="BG185">
        <v>9.07</v>
      </c>
      <c r="BH185">
        <v>16.46</v>
      </c>
      <c r="BI185">
        <v>309257</v>
      </c>
      <c r="BJ185">
        <v>120781</v>
      </c>
      <c r="BK185">
        <v>176</v>
      </c>
      <c r="BL185">
        <v>46604</v>
      </c>
      <c r="BM185">
        <v>15588</v>
      </c>
      <c r="BN185">
        <v>113111</v>
      </c>
      <c r="BO185">
        <v>1407</v>
      </c>
      <c r="BP185">
        <v>202</v>
      </c>
      <c r="BQ185">
        <v>2813</v>
      </c>
      <c r="BR185">
        <v>8353</v>
      </c>
      <c r="BS185" t="s">
        <v>21</v>
      </c>
      <c r="BT185" t="s">
        <v>636</v>
      </c>
      <c r="BU185">
        <v>0</v>
      </c>
      <c r="BV185">
        <v>0</v>
      </c>
      <c r="BW185">
        <v>1</v>
      </c>
      <c r="BX185">
        <v>0</v>
      </c>
      <c r="BY185">
        <v>71.8</v>
      </c>
      <c r="BZ185">
        <v>72.599999999999994</v>
      </c>
      <c r="CA185">
        <v>0</v>
      </c>
      <c r="CB185">
        <v>0</v>
      </c>
      <c r="CC185">
        <v>0</v>
      </c>
      <c r="CD185">
        <f t="shared" si="65"/>
        <v>1.1019283746556474E-2</v>
      </c>
      <c r="CE185">
        <v>0</v>
      </c>
    </row>
    <row r="186" spans="1:83" x14ac:dyDescent="0.4">
      <c r="A186" t="s">
        <v>1133</v>
      </c>
      <c r="B186" t="s">
        <v>49</v>
      </c>
      <c r="C186" t="s">
        <v>73</v>
      </c>
      <c r="D186" t="s">
        <v>82</v>
      </c>
      <c r="E186" t="s">
        <v>49</v>
      </c>
      <c r="F186" t="s">
        <v>12</v>
      </c>
      <c r="G186">
        <v>70</v>
      </c>
      <c r="H186">
        <v>30</v>
      </c>
      <c r="I186">
        <v>41</v>
      </c>
      <c r="J186">
        <f t="shared" si="48"/>
        <v>29</v>
      </c>
      <c r="K186">
        <f t="shared" si="49"/>
        <v>-11</v>
      </c>
      <c r="L186">
        <v>40</v>
      </c>
      <c r="M186">
        <v>40.93</v>
      </c>
      <c r="N186" t="s">
        <v>640</v>
      </c>
      <c r="O186" t="s">
        <v>641</v>
      </c>
      <c r="P186" t="s">
        <v>26</v>
      </c>
      <c r="Q186">
        <v>12.9</v>
      </c>
      <c r="R186" t="s">
        <v>13</v>
      </c>
      <c r="S186" t="s">
        <v>27</v>
      </c>
      <c r="T186" t="s">
        <v>14</v>
      </c>
      <c r="U186">
        <v>0</v>
      </c>
      <c r="V186" t="s">
        <v>14</v>
      </c>
      <c r="W186">
        <f t="shared" si="50"/>
        <v>1</v>
      </c>
      <c r="X186" t="s">
        <v>14</v>
      </c>
      <c r="Y186" t="s">
        <v>14</v>
      </c>
      <c r="Z186">
        <v>0</v>
      </c>
      <c r="AA186">
        <f t="shared" si="44"/>
        <v>5365.8111729540296</v>
      </c>
      <c r="AB186">
        <f t="shared" si="45"/>
        <v>72.194736480450771</v>
      </c>
      <c r="AC186">
        <f t="shared" si="46"/>
        <v>31.804438947296092</v>
      </c>
      <c r="AD186" t="s">
        <v>27</v>
      </c>
      <c r="AE186" t="s">
        <v>27</v>
      </c>
      <c r="AF186" t="s">
        <v>18</v>
      </c>
      <c r="AG186" t="s">
        <v>14</v>
      </c>
      <c r="AH186" t="s">
        <v>17</v>
      </c>
      <c r="AI186" t="s">
        <v>24</v>
      </c>
      <c r="AJ186" t="s">
        <v>17</v>
      </c>
      <c r="AK186" t="s">
        <v>14</v>
      </c>
      <c r="AL186" t="s">
        <v>14</v>
      </c>
      <c r="AM186">
        <f t="shared" si="47"/>
        <v>44.053681054585255</v>
      </c>
      <c r="AN186">
        <f t="shared" si="51"/>
        <v>5856.8838338171608</v>
      </c>
      <c r="AO186">
        <f t="shared" si="52"/>
        <v>3042.2309998572314</v>
      </c>
      <c r="AP186">
        <f t="shared" si="53"/>
        <v>1473.8923523533051</v>
      </c>
      <c r="AQ186">
        <f t="shared" si="54"/>
        <v>1134.8736496454576</v>
      </c>
      <c r="AR186">
        <f t="shared" si="55"/>
        <v>1340.7604816066246</v>
      </c>
      <c r="AS186">
        <f t="shared" si="56"/>
        <v>2.2366522366522368</v>
      </c>
      <c r="AT186">
        <f t="shared" si="57"/>
        <v>40.390297533154673</v>
      </c>
      <c r="AU186">
        <f t="shared" si="58"/>
        <v>15.626871383684337</v>
      </c>
      <c r="AV186">
        <f t="shared" si="59"/>
        <v>19.376748486845365</v>
      </c>
      <c r="AW186">
        <f t="shared" si="60"/>
        <v>25.165128661817963</v>
      </c>
      <c r="AX186">
        <f t="shared" si="61"/>
        <v>22.892044979024252</v>
      </c>
      <c r="AY186">
        <f t="shared" si="62"/>
        <v>4078.1416038551833</v>
      </c>
      <c r="AZ186">
        <f t="shared" si="63"/>
        <v>915.24770380240807</v>
      </c>
      <c r="BA186">
        <f t="shared" si="64"/>
        <v>55.946318945414745</v>
      </c>
      <c r="BB186" t="s">
        <v>16</v>
      </c>
      <c r="BC186" t="s">
        <v>16</v>
      </c>
      <c r="BD186">
        <v>291.06</v>
      </c>
      <c r="BE186">
        <v>210.13</v>
      </c>
      <c r="BF186">
        <v>92.57</v>
      </c>
      <c r="BG186">
        <v>117.56</v>
      </c>
      <c r="BH186">
        <v>6.51</v>
      </c>
      <c r="BI186">
        <v>1561773</v>
      </c>
      <c r="BJ186">
        <v>639264</v>
      </c>
      <c r="BK186">
        <v>238471</v>
      </c>
      <c r="BL186">
        <v>77287</v>
      </c>
      <c r="BM186">
        <v>28181</v>
      </c>
      <c r="BN186">
        <v>192321</v>
      </c>
      <c r="BO186">
        <v>11920</v>
      </c>
      <c r="BP186">
        <v>36360</v>
      </c>
      <c r="BQ186">
        <v>6903</v>
      </c>
      <c r="BR186">
        <v>330044</v>
      </c>
      <c r="BS186" t="s">
        <v>21</v>
      </c>
      <c r="BT186" t="s">
        <v>639</v>
      </c>
      <c r="BU186">
        <v>0</v>
      </c>
      <c r="BV186">
        <v>0.8</v>
      </c>
      <c r="BW186">
        <v>0</v>
      </c>
      <c r="BX186">
        <v>0.4</v>
      </c>
      <c r="BY186">
        <v>329.1</v>
      </c>
      <c r="BZ186">
        <v>383.3</v>
      </c>
      <c r="CA186">
        <v>1</v>
      </c>
      <c r="CB186">
        <v>1</v>
      </c>
      <c r="CC186">
        <v>0</v>
      </c>
      <c r="CD186">
        <f t="shared" si="65"/>
        <v>0.14140360031307064</v>
      </c>
      <c r="CE186">
        <v>1</v>
      </c>
    </row>
    <row r="187" spans="1:83" x14ac:dyDescent="0.4">
      <c r="A187" t="s">
        <v>1134</v>
      </c>
      <c r="B187" t="s">
        <v>49</v>
      </c>
      <c r="C187" t="s">
        <v>73</v>
      </c>
      <c r="D187" t="s">
        <v>82</v>
      </c>
      <c r="E187" t="s">
        <v>49</v>
      </c>
      <c r="F187" t="s">
        <v>22</v>
      </c>
      <c r="G187">
        <v>50</v>
      </c>
      <c r="H187">
        <v>54</v>
      </c>
      <c r="I187">
        <v>37.5</v>
      </c>
      <c r="J187">
        <f t="shared" si="48"/>
        <v>12.5</v>
      </c>
      <c r="K187">
        <f t="shared" si="49"/>
        <v>16.5</v>
      </c>
      <c r="L187">
        <v>-4</v>
      </c>
      <c r="M187">
        <v>37.26</v>
      </c>
      <c r="N187" t="s">
        <v>642</v>
      </c>
      <c r="O187" t="s">
        <v>643</v>
      </c>
      <c r="P187" t="s">
        <v>13</v>
      </c>
      <c r="Q187">
        <v>0</v>
      </c>
      <c r="R187" t="s">
        <v>13</v>
      </c>
      <c r="S187" t="s">
        <v>27</v>
      </c>
      <c r="T187" t="s">
        <v>14</v>
      </c>
      <c r="U187">
        <v>2.5</v>
      </c>
      <c r="V187" t="s">
        <v>14</v>
      </c>
      <c r="W187">
        <f t="shared" si="50"/>
        <v>0.7142857142857143</v>
      </c>
      <c r="X187" t="s">
        <v>14</v>
      </c>
      <c r="Y187" t="s">
        <v>14</v>
      </c>
      <c r="Z187">
        <v>0</v>
      </c>
      <c r="AA187">
        <f t="shared" si="44"/>
        <v>3411.3080168776373</v>
      </c>
      <c r="AB187">
        <f t="shared" si="45"/>
        <v>36.202531645569621</v>
      </c>
      <c r="AC187">
        <f t="shared" si="46"/>
        <v>17.974683544303797</v>
      </c>
      <c r="AD187" t="s">
        <v>37</v>
      </c>
      <c r="AE187" t="s">
        <v>27</v>
      </c>
      <c r="AF187" t="s">
        <v>18</v>
      </c>
      <c r="AG187" t="s">
        <v>14</v>
      </c>
      <c r="AH187" t="s">
        <v>14</v>
      </c>
      <c r="AI187" t="s">
        <v>18</v>
      </c>
      <c r="AJ187" t="s">
        <v>14</v>
      </c>
      <c r="AK187" t="s">
        <v>14</v>
      </c>
      <c r="AL187" t="s">
        <v>17</v>
      </c>
      <c r="AM187">
        <f t="shared" si="47"/>
        <v>49.650349650349646</v>
      </c>
      <c r="AN187">
        <f t="shared" si="51"/>
        <v>5731.4685314685312</v>
      </c>
      <c r="AO187">
        <f t="shared" si="52"/>
        <v>3511.4219114219113</v>
      </c>
      <c r="AP187">
        <f t="shared" si="53"/>
        <v>805.12820512820508</v>
      </c>
      <c r="AQ187">
        <f t="shared" si="54"/>
        <v>1076.6899766899767</v>
      </c>
      <c r="AR187">
        <f t="shared" si="55"/>
        <v>1414.918414918415</v>
      </c>
      <c r="AS187">
        <f t="shared" si="56"/>
        <v>8.0168776371308024</v>
      </c>
      <c r="AT187">
        <f t="shared" si="57"/>
        <v>18.227848101265824</v>
      </c>
      <c r="AU187">
        <f t="shared" si="58"/>
        <v>8.4553440702781852</v>
      </c>
      <c r="AV187">
        <f t="shared" si="59"/>
        <v>18.785586464942249</v>
      </c>
      <c r="AW187">
        <f t="shared" si="60"/>
        <v>14.047502846917196</v>
      </c>
      <c r="AX187">
        <f t="shared" si="61"/>
        <v>24.686839108508217</v>
      </c>
      <c r="AY187">
        <f t="shared" si="62"/>
        <v>2088.0952380952381</v>
      </c>
      <c r="AZ187">
        <f t="shared" si="63"/>
        <v>484.61538461538458</v>
      </c>
      <c r="BA187">
        <f t="shared" si="64"/>
        <v>50.349650349650346</v>
      </c>
      <c r="BB187" t="s">
        <v>50</v>
      </c>
      <c r="BC187" t="s">
        <v>29</v>
      </c>
      <c r="BD187">
        <v>11.85</v>
      </c>
      <c r="BE187">
        <v>4.29</v>
      </c>
      <c r="BF187">
        <v>2.13</v>
      </c>
      <c r="BG187">
        <v>2.16</v>
      </c>
      <c r="BH187">
        <v>0.95</v>
      </c>
      <c r="BI187">
        <v>40424</v>
      </c>
      <c r="BJ187">
        <v>15064</v>
      </c>
      <c r="BK187">
        <v>4619</v>
      </c>
      <c r="BL187">
        <v>603</v>
      </c>
      <c r="BM187">
        <v>303</v>
      </c>
      <c r="BN187">
        <v>2079</v>
      </c>
      <c r="BO187">
        <v>469</v>
      </c>
      <c r="BP187">
        <v>956</v>
      </c>
      <c r="BQ187">
        <v>495</v>
      </c>
      <c r="BR187">
        <v>15786</v>
      </c>
      <c r="BS187" t="s">
        <v>21</v>
      </c>
      <c r="BT187" t="s">
        <v>484</v>
      </c>
      <c r="BU187">
        <v>0</v>
      </c>
      <c r="BV187">
        <v>0.2</v>
      </c>
      <c r="BW187">
        <v>0</v>
      </c>
      <c r="BX187">
        <v>0.5</v>
      </c>
      <c r="BY187">
        <v>13.8</v>
      </c>
      <c r="BZ187">
        <v>13.9</v>
      </c>
      <c r="CA187">
        <v>7</v>
      </c>
      <c r="CB187">
        <v>5</v>
      </c>
      <c r="CC187">
        <v>0</v>
      </c>
      <c r="CD187">
        <f t="shared" si="65"/>
        <v>7.194244604316502E-3</v>
      </c>
      <c r="CE187">
        <v>0.7142857142857143</v>
      </c>
    </row>
    <row r="188" spans="1:83" x14ac:dyDescent="0.4">
      <c r="A188" t="s">
        <v>1135</v>
      </c>
      <c r="B188" t="s">
        <v>49</v>
      </c>
      <c r="C188" t="s">
        <v>73</v>
      </c>
      <c r="D188" t="s">
        <v>82</v>
      </c>
      <c r="E188" t="s">
        <v>49</v>
      </c>
      <c r="F188" t="s">
        <v>12</v>
      </c>
      <c r="G188">
        <v>50</v>
      </c>
      <c r="H188">
        <v>29</v>
      </c>
      <c r="I188">
        <v>29.5</v>
      </c>
      <c r="J188">
        <f t="shared" si="48"/>
        <v>20.5</v>
      </c>
      <c r="K188">
        <f t="shared" si="49"/>
        <v>-0.5</v>
      </c>
      <c r="L188">
        <v>21</v>
      </c>
      <c r="M188">
        <v>29.31</v>
      </c>
      <c r="N188" t="s">
        <v>645</v>
      </c>
      <c r="O188" t="s">
        <v>646</v>
      </c>
      <c r="P188" t="s">
        <v>13</v>
      </c>
      <c r="Q188">
        <v>0.5</v>
      </c>
      <c r="R188" t="s">
        <v>13</v>
      </c>
      <c r="S188" t="s">
        <v>27</v>
      </c>
      <c r="T188" t="s">
        <v>14</v>
      </c>
      <c r="U188">
        <v>0</v>
      </c>
      <c r="V188" t="s">
        <v>14</v>
      </c>
      <c r="W188">
        <f t="shared" si="50"/>
        <v>1</v>
      </c>
      <c r="X188" t="s">
        <v>17</v>
      </c>
      <c r="Y188" t="s">
        <v>14</v>
      </c>
      <c r="Z188">
        <v>0</v>
      </c>
      <c r="AA188">
        <f t="shared" si="44"/>
        <v>5817.6271069117083</v>
      </c>
      <c r="AB188">
        <f t="shared" si="45"/>
        <v>59.536912054822963</v>
      </c>
      <c r="AC188">
        <f t="shared" si="46"/>
        <v>26.819644896687777</v>
      </c>
      <c r="AD188" t="s">
        <v>15</v>
      </c>
      <c r="AE188" t="s">
        <v>15</v>
      </c>
      <c r="AF188" t="s">
        <v>18</v>
      </c>
      <c r="AG188" t="s">
        <v>14</v>
      </c>
      <c r="AH188" t="s">
        <v>17</v>
      </c>
      <c r="AI188" t="s">
        <v>24</v>
      </c>
      <c r="AJ188" t="s">
        <v>14</v>
      </c>
      <c r="AK188" t="s">
        <v>17</v>
      </c>
      <c r="AL188" t="s">
        <v>14</v>
      </c>
      <c r="AM188">
        <f t="shared" si="47"/>
        <v>45.047087547959535</v>
      </c>
      <c r="AN188">
        <f t="shared" si="51"/>
        <v>6952.0462736891059</v>
      </c>
      <c r="AO188">
        <f t="shared" si="52"/>
        <v>2863.9518660620856</v>
      </c>
      <c r="AP188">
        <f t="shared" si="53"/>
        <v>2889.9023369375655</v>
      </c>
      <c r="AQ188">
        <f t="shared" si="54"/>
        <v>1035.8446692245086</v>
      </c>
      <c r="AR188">
        <f t="shared" si="55"/>
        <v>1198.1920706894546</v>
      </c>
      <c r="AS188">
        <f t="shared" si="56"/>
        <v>0.6749039559754958</v>
      </c>
      <c r="AT188">
        <f t="shared" si="57"/>
        <v>32.717267158135186</v>
      </c>
      <c r="AU188">
        <f t="shared" si="58"/>
        <v>25.786463816518395</v>
      </c>
      <c r="AV188">
        <f t="shared" si="59"/>
        <v>14.89985291301632</v>
      </c>
      <c r="AW188">
        <f t="shared" si="60"/>
        <v>41.569089490597385</v>
      </c>
      <c r="AX188">
        <f t="shared" si="61"/>
        <v>17.235099185460882</v>
      </c>
      <c r="AY188">
        <f t="shared" si="62"/>
        <v>4132.7260285689845</v>
      </c>
      <c r="AZ188">
        <f t="shared" si="63"/>
        <v>1792.6868968724566</v>
      </c>
      <c r="BA188">
        <f t="shared" si="64"/>
        <v>54.952912452040458</v>
      </c>
      <c r="BB188" t="s">
        <v>16</v>
      </c>
      <c r="BC188" t="s">
        <v>16</v>
      </c>
      <c r="BD188">
        <v>288.93</v>
      </c>
      <c r="BE188">
        <v>172.02</v>
      </c>
      <c r="BF188">
        <v>77.489999999999995</v>
      </c>
      <c r="BG188">
        <v>94.53</v>
      </c>
      <c r="BH188">
        <v>1.95</v>
      </c>
      <c r="BI188">
        <v>1680887</v>
      </c>
      <c r="BJ188">
        <v>492657</v>
      </c>
      <c r="BK188">
        <v>178186</v>
      </c>
      <c r="BL188">
        <v>107642</v>
      </c>
      <c r="BM188">
        <v>75546</v>
      </c>
      <c r="BN188">
        <v>308378</v>
      </c>
      <c r="BO188">
        <v>5555</v>
      </c>
      <c r="BP188">
        <v>25343</v>
      </c>
      <c r="BQ188">
        <v>2584</v>
      </c>
      <c r="BR188">
        <v>483157</v>
      </c>
      <c r="BS188" t="s">
        <v>21</v>
      </c>
      <c r="BT188" t="s">
        <v>150</v>
      </c>
      <c r="BU188">
        <v>0</v>
      </c>
      <c r="BV188">
        <v>0.1</v>
      </c>
      <c r="BW188">
        <v>0.7</v>
      </c>
      <c r="BX188">
        <v>0.1</v>
      </c>
      <c r="BY188">
        <v>309.10000000000002</v>
      </c>
      <c r="BZ188">
        <v>313.5</v>
      </c>
      <c r="CA188">
        <v>1</v>
      </c>
      <c r="CB188">
        <v>1</v>
      </c>
      <c r="CC188">
        <v>0</v>
      </c>
      <c r="CD188">
        <f t="shared" si="65"/>
        <v>1.4035087719298178E-2</v>
      </c>
      <c r="CE188">
        <v>1</v>
      </c>
    </row>
    <row r="189" spans="1:83" x14ac:dyDescent="0.4">
      <c r="A189" t="s">
        <v>1136</v>
      </c>
      <c r="B189" t="s">
        <v>49</v>
      </c>
      <c r="C189" t="s">
        <v>73</v>
      </c>
      <c r="D189" t="s">
        <v>82</v>
      </c>
      <c r="E189" t="s">
        <v>49</v>
      </c>
      <c r="F189" t="s">
        <v>12</v>
      </c>
      <c r="G189">
        <v>50</v>
      </c>
      <c r="H189">
        <v>35</v>
      </c>
      <c r="I189">
        <v>48.5</v>
      </c>
      <c r="J189">
        <f t="shared" si="48"/>
        <v>1.5</v>
      </c>
      <c r="K189">
        <f t="shared" si="49"/>
        <v>-13.5</v>
      </c>
      <c r="L189">
        <v>15</v>
      </c>
      <c r="M189">
        <v>48.72</v>
      </c>
      <c r="N189" t="s">
        <v>648</v>
      </c>
      <c r="O189" t="s">
        <v>649</v>
      </c>
      <c r="P189" t="s">
        <v>13</v>
      </c>
      <c r="Q189">
        <v>0.4</v>
      </c>
      <c r="R189" t="s">
        <v>13</v>
      </c>
      <c r="S189" t="s">
        <v>27</v>
      </c>
      <c r="T189" t="s">
        <v>14</v>
      </c>
      <c r="U189">
        <v>2.5</v>
      </c>
      <c r="V189" t="s">
        <v>14</v>
      </c>
      <c r="W189">
        <f t="shared" si="50"/>
        <v>1</v>
      </c>
      <c r="X189" t="s">
        <v>14</v>
      </c>
      <c r="Y189" t="s">
        <v>14</v>
      </c>
      <c r="Z189">
        <v>0</v>
      </c>
      <c r="AA189">
        <f t="shared" si="44"/>
        <v>4128.6471138197303</v>
      </c>
      <c r="AB189">
        <f t="shared" si="45"/>
        <v>74.531666608954595</v>
      </c>
      <c r="AC189">
        <f t="shared" si="46"/>
        <v>41.774299664115787</v>
      </c>
      <c r="AD189" t="s">
        <v>15</v>
      </c>
      <c r="AE189" t="s">
        <v>37</v>
      </c>
      <c r="AF189" t="s">
        <v>18</v>
      </c>
      <c r="AG189" t="s">
        <v>17</v>
      </c>
      <c r="AH189" t="s">
        <v>17</v>
      </c>
      <c r="AI189" t="s">
        <v>24</v>
      </c>
      <c r="AJ189" t="s">
        <v>14</v>
      </c>
      <c r="AK189" t="s">
        <v>17</v>
      </c>
      <c r="AL189" t="s">
        <v>14</v>
      </c>
      <c r="AM189">
        <f t="shared" si="47"/>
        <v>56.049061512729971</v>
      </c>
      <c r="AN189">
        <f t="shared" si="51"/>
        <v>5371.5666233042184</v>
      </c>
      <c r="AO189">
        <f t="shared" si="52"/>
        <v>2699.0429288236387</v>
      </c>
      <c r="AP189">
        <f t="shared" si="53"/>
        <v>1655.1849098680541</v>
      </c>
      <c r="AQ189">
        <f t="shared" si="54"/>
        <v>865.11800780524061</v>
      </c>
      <c r="AR189">
        <f t="shared" si="55"/>
        <v>1017.3387846125255</v>
      </c>
      <c r="AS189">
        <f t="shared" si="56"/>
        <v>22.736244329789812</v>
      </c>
      <c r="AT189">
        <f t="shared" si="57"/>
        <v>32.757366944838807</v>
      </c>
      <c r="AU189">
        <f t="shared" si="58"/>
        <v>9.75491620652911</v>
      </c>
      <c r="AV189">
        <f t="shared" si="59"/>
        <v>16.105506428087072</v>
      </c>
      <c r="AW189">
        <f t="shared" si="60"/>
        <v>30.813820733175572</v>
      </c>
      <c r="AX189">
        <f t="shared" si="61"/>
        <v>18.93933103610523</v>
      </c>
      <c r="AY189">
        <f t="shared" si="62"/>
        <v>466.66213460231126</v>
      </c>
      <c r="AZ189">
        <f t="shared" si="63"/>
        <v>523.99182308121169</v>
      </c>
      <c r="BA189">
        <f t="shared" si="64"/>
        <v>43.950938487270022</v>
      </c>
      <c r="BB189" t="s">
        <v>16</v>
      </c>
      <c r="BC189" t="s">
        <v>16</v>
      </c>
      <c r="BD189">
        <v>288.79000000000002</v>
      </c>
      <c r="BE189">
        <v>215.24</v>
      </c>
      <c r="BF189">
        <v>120.64</v>
      </c>
      <c r="BG189">
        <v>94.6</v>
      </c>
      <c r="BH189">
        <v>65.66</v>
      </c>
      <c r="BI189">
        <v>1192312</v>
      </c>
      <c r="BJ189">
        <v>580942</v>
      </c>
      <c r="BK189">
        <v>186208</v>
      </c>
      <c r="BL189">
        <v>89170</v>
      </c>
      <c r="BM189">
        <v>51065</v>
      </c>
      <c r="BN189">
        <v>112784</v>
      </c>
      <c r="BO189">
        <v>103243</v>
      </c>
      <c r="BP189">
        <v>24195</v>
      </c>
      <c r="BQ189">
        <v>8569</v>
      </c>
      <c r="BR189">
        <v>34323</v>
      </c>
      <c r="BS189" t="s">
        <v>21</v>
      </c>
      <c r="BT189" t="s">
        <v>647</v>
      </c>
      <c r="BU189">
        <v>0</v>
      </c>
      <c r="BV189">
        <v>0.2</v>
      </c>
      <c r="BW189">
        <v>0</v>
      </c>
      <c r="BX189">
        <v>0.2</v>
      </c>
      <c r="BY189">
        <v>294.8</v>
      </c>
      <c r="BZ189">
        <v>297.10000000000002</v>
      </c>
      <c r="CA189">
        <v>1</v>
      </c>
      <c r="CB189">
        <v>1</v>
      </c>
      <c r="CC189">
        <v>0</v>
      </c>
      <c r="CD189">
        <f t="shared" si="65"/>
        <v>7.7415011780546106E-3</v>
      </c>
      <c r="CE189">
        <v>1</v>
      </c>
    </row>
    <row r="190" spans="1:83" x14ac:dyDescent="0.4">
      <c r="A190" t="s">
        <v>1137</v>
      </c>
      <c r="B190" t="s">
        <v>42</v>
      </c>
      <c r="C190" t="s">
        <v>82</v>
      </c>
      <c r="D190" t="s">
        <v>82</v>
      </c>
      <c r="E190" t="s">
        <v>49</v>
      </c>
      <c r="F190" t="s">
        <v>12</v>
      </c>
      <c r="G190">
        <v>50</v>
      </c>
      <c r="H190">
        <v>55</v>
      </c>
      <c r="I190">
        <v>44</v>
      </c>
      <c r="J190">
        <f t="shared" si="48"/>
        <v>6</v>
      </c>
      <c r="K190">
        <f t="shared" si="49"/>
        <v>11</v>
      </c>
      <c r="L190">
        <v>-5</v>
      </c>
      <c r="M190">
        <v>44.23</v>
      </c>
      <c r="N190" t="s">
        <v>651</v>
      </c>
      <c r="O190" t="s">
        <v>652</v>
      </c>
      <c r="P190" t="s">
        <v>13</v>
      </c>
      <c r="Q190">
        <v>0.1</v>
      </c>
      <c r="R190" t="s">
        <v>13</v>
      </c>
      <c r="S190" t="s">
        <v>15</v>
      </c>
      <c r="T190" t="s">
        <v>14</v>
      </c>
      <c r="U190">
        <v>5</v>
      </c>
      <c r="V190" t="s">
        <v>14</v>
      </c>
      <c r="W190">
        <f t="shared" si="50"/>
        <v>1</v>
      </c>
      <c r="X190" t="s">
        <v>14</v>
      </c>
      <c r="Y190" t="s">
        <v>14</v>
      </c>
      <c r="Z190">
        <v>0</v>
      </c>
      <c r="AA190">
        <f t="shared" si="44"/>
        <v>4944.8250595347126</v>
      </c>
      <c r="AB190">
        <f t="shared" si="45"/>
        <v>54.259021798864261</v>
      </c>
      <c r="AC190">
        <f t="shared" si="46"/>
        <v>30.756548818464918</v>
      </c>
      <c r="AD190" t="s">
        <v>15</v>
      </c>
      <c r="AE190" t="s">
        <v>27</v>
      </c>
      <c r="AF190" t="s">
        <v>18</v>
      </c>
      <c r="AG190" t="s">
        <v>14</v>
      </c>
      <c r="AH190" t="s">
        <v>14</v>
      </c>
      <c r="AI190" t="s">
        <v>41</v>
      </c>
      <c r="AJ190" t="s">
        <v>14</v>
      </c>
      <c r="AK190" t="s">
        <v>14</v>
      </c>
      <c r="AL190" t="s">
        <v>14</v>
      </c>
      <c r="AM190">
        <f t="shared" si="47"/>
        <v>56.684672518568533</v>
      </c>
      <c r="AN190">
        <f t="shared" si="51"/>
        <v>7236.6306549628625</v>
      </c>
      <c r="AO190">
        <f t="shared" si="52"/>
        <v>4030.5874409182984</v>
      </c>
      <c r="AP190">
        <f t="shared" si="53"/>
        <v>1619.1424713031736</v>
      </c>
      <c r="AQ190">
        <f t="shared" si="54"/>
        <v>369.41255908170154</v>
      </c>
      <c r="AR190">
        <f t="shared" si="55"/>
        <v>1586.9007427413908</v>
      </c>
      <c r="AS190">
        <f t="shared" si="56"/>
        <v>13.464004396409598</v>
      </c>
      <c r="AT190">
        <f t="shared" si="57"/>
        <v>23.50247298039934</v>
      </c>
      <c r="AU190">
        <f t="shared" si="58"/>
        <v>10.745559811335719</v>
      </c>
      <c r="AV190">
        <f t="shared" si="59"/>
        <v>5.1047590611572717</v>
      </c>
      <c r="AW190">
        <f t="shared" si="60"/>
        <v>22.37425880223374</v>
      </c>
      <c r="AX190">
        <f t="shared" si="61"/>
        <v>21.928723716928932</v>
      </c>
      <c r="AY190">
        <f t="shared" si="62"/>
        <v>2217.7813376051258</v>
      </c>
      <c r="AZ190">
        <f t="shared" si="63"/>
        <v>777.61647535449015</v>
      </c>
      <c r="BA190">
        <f t="shared" si="64"/>
        <v>43.315327481431467</v>
      </c>
      <c r="BB190" t="s">
        <v>16</v>
      </c>
      <c r="BC190" t="s">
        <v>16</v>
      </c>
      <c r="BD190">
        <v>54.59</v>
      </c>
      <c r="BE190">
        <v>29.62</v>
      </c>
      <c r="BF190">
        <v>16.79</v>
      </c>
      <c r="BG190">
        <v>12.83</v>
      </c>
      <c r="BH190">
        <v>7.35</v>
      </c>
      <c r="BI190">
        <v>269938</v>
      </c>
      <c r="BJ190">
        <v>119386</v>
      </c>
      <c r="BK190">
        <v>10942</v>
      </c>
      <c r="BL190">
        <v>12678</v>
      </c>
      <c r="BM190">
        <v>8689</v>
      </c>
      <c r="BN190">
        <v>23033</v>
      </c>
      <c r="BO190">
        <v>3559</v>
      </c>
      <c r="BP190">
        <v>6651</v>
      </c>
      <c r="BQ190">
        <v>29411</v>
      </c>
      <c r="BR190">
        <v>55378</v>
      </c>
      <c r="BS190" t="s">
        <v>21</v>
      </c>
      <c r="BT190" t="s">
        <v>650</v>
      </c>
      <c r="BU190">
        <v>0</v>
      </c>
      <c r="BV190">
        <v>0.1</v>
      </c>
      <c r="BW190">
        <v>0</v>
      </c>
      <c r="BX190">
        <v>0.4</v>
      </c>
      <c r="BY190">
        <v>59.5</v>
      </c>
      <c r="BZ190">
        <v>59.9</v>
      </c>
      <c r="CA190">
        <v>1</v>
      </c>
      <c r="CB190">
        <v>1</v>
      </c>
      <c r="CC190">
        <v>0</v>
      </c>
      <c r="CD190">
        <f t="shared" si="65"/>
        <v>6.6777963272119933E-3</v>
      </c>
      <c r="CE190">
        <v>1</v>
      </c>
    </row>
    <row r="191" spans="1:83" x14ac:dyDescent="0.4">
      <c r="A191" t="s">
        <v>1138</v>
      </c>
      <c r="B191" t="s">
        <v>49</v>
      </c>
      <c r="C191" t="s">
        <v>73</v>
      </c>
      <c r="D191" t="s">
        <v>82</v>
      </c>
      <c r="E191" t="s">
        <v>49</v>
      </c>
      <c r="F191" t="s">
        <v>12</v>
      </c>
      <c r="G191">
        <v>50</v>
      </c>
      <c r="H191">
        <v>35</v>
      </c>
      <c r="I191">
        <v>26</v>
      </c>
      <c r="J191">
        <f t="shared" si="48"/>
        <v>24</v>
      </c>
      <c r="K191">
        <f t="shared" si="49"/>
        <v>9</v>
      </c>
      <c r="L191">
        <v>15</v>
      </c>
      <c r="M191">
        <v>26.15</v>
      </c>
      <c r="N191" t="s">
        <v>654</v>
      </c>
      <c r="O191" t="s">
        <v>655</v>
      </c>
      <c r="P191" t="s">
        <v>13</v>
      </c>
      <c r="Q191">
        <v>0.3</v>
      </c>
      <c r="R191" t="s">
        <v>13</v>
      </c>
      <c r="S191" t="s">
        <v>27</v>
      </c>
      <c r="T191" t="s">
        <v>14</v>
      </c>
      <c r="U191">
        <v>2.5</v>
      </c>
      <c r="V191" t="s">
        <v>14</v>
      </c>
      <c r="W191">
        <f t="shared" si="50"/>
        <v>1</v>
      </c>
      <c r="X191" t="s">
        <v>17</v>
      </c>
      <c r="Y191" t="s">
        <v>14</v>
      </c>
      <c r="Z191">
        <v>0</v>
      </c>
      <c r="AA191">
        <f t="shared" si="44"/>
        <v>3780.3506698187548</v>
      </c>
      <c r="AB191">
        <f t="shared" si="45"/>
        <v>51.686367218282108</v>
      </c>
      <c r="AC191">
        <f t="shared" si="46"/>
        <v>19.539007092198581</v>
      </c>
      <c r="AD191" t="s">
        <v>15</v>
      </c>
      <c r="AE191" t="s">
        <v>27</v>
      </c>
      <c r="AF191" t="s">
        <v>18</v>
      </c>
      <c r="AG191" t="s">
        <v>14</v>
      </c>
      <c r="AH191" t="s">
        <v>17</v>
      </c>
      <c r="AI191" t="s">
        <v>41</v>
      </c>
      <c r="AJ191" t="s">
        <v>14</v>
      </c>
      <c r="AK191" t="s">
        <v>14</v>
      </c>
      <c r="AL191" t="s">
        <v>17</v>
      </c>
      <c r="AM191">
        <f t="shared" si="47"/>
        <v>37.803018752858662</v>
      </c>
      <c r="AN191">
        <f t="shared" si="51"/>
        <v>4657.1352340295771</v>
      </c>
      <c r="AO191">
        <f t="shared" si="52"/>
        <v>1912.8220765360572</v>
      </c>
      <c r="AP191">
        <f t="shared" si="53"/>
        <v>1273.2962341820398</v>
      </c>
      <c r="AQ191">
        <f t="shared" si="54"/>
        <v>1303.3846622960816</v>
      </c>
      <c r="AR191">
        <f t="shared" si="55"/>
        <v>1471.0169233114802</v>
      </c>
      <c r="AS191">
        <f t="shared" si="56"/>
        <v>5.7249802994483847</v>
      </c>
      <c r="AT191">
        <f t="shared" si="57"/>
        <v>32.147360126083527</v>
      </c>
      <c r="AU191">
        <f t="shared" si="58"/>
        <v>10.175423089325497</v>
      </c>
      <c r="AV191">
        <f t="shared" si="59"/>
        <v>27.98683303787875</v>
      </c>
      <c r="AW191">
        <f t="shared" si="60"/>
        <v>27.340761438020831</v>
      </c>
      <c r="AX191">
        <f t="shared" si="61"/>
        <v>31.586304657051706</v>
      </c>
      <c r="AY191">
        <f t="shared" si="62"/>
        <v>2836.6416571521772</v>
      </c>
      <c r="AZ191">
        <f t="shared" si="63"/>
        <v>473.8832139045586</v>
      </c>
      <c r="BA191">
        <f t="shared" si="64"/>
        <v>62.196981247141331</v>
      </c>
      <c r="BB191" t="s">
        <v>16</v>
      </c>
      <c r="BC191" t="s">
        <v>16</v>
      </c>
      <c r="BD191">
        <v>253.8</v>
      </c>
      <c r="BE191">
        <v>131.18</v>
      </c>
      <c r="BF191">
        <v>49.59</v>
      </c>
      <c r="BG191">
        <v>81.59</v>
      </c>
      <c r="BH191">
        <v>14.53</v>
      </c>
      <c r="BI191">
        <v>959453</v>
      </c>
      <c r="BJ191">
        <v>250924</v>
      </c>
      <c r="BK191">
        <v>170978</v>
      </c>
      <c r="BL191">
        <v>71908</v>
      </c>
      <c r="BM191">
        <v>20455</v>
      </c>
      <c r="BN191">
        <v>62164</v>
      </c>
      <c r="BO191">
        <v>12504</v>
      </c>
      <c r="BP191">
        <v>18232</v>
      </c>
      <c r="BQ191">
        <v>3758</v>
      </c>
      <c r="BR191">
        <v>347829</v>
      </c>
      <c r="BS191" t="s">
        <v>21</v>
      </c>
      <c r="BT191" t="s">
        <v>653</v>
      </c>
      <c r="BU191">
        <v>0</v>
      </c>
      <c r="BV191">
        <v>0.1</v>
      </c>
      <c r="BW191">
        <v>2</v>
      </c>
      <c r="BX191">
        <v>0</v>
      </c>
      <c r="BY191">
        <v>280</v>
      </c>
      <c r="BZ191">
        <v>286.89999999999998</v>
      </c>
      <c r="CA191">
        <v>1</v>
      </c>
      <c r="CB191">
        <v>1</v>
      </c>
      <c r="CC191">
        <v>0</v>
      </c>
      <c r="CD191">
        <f t="shared" si="65"/>
        <v>2.4050191704426571E-2</v>
      </c>
      <c r="CE191">
        <v>1</v>
      </c>
    </row>
    <row r="192" spans="1:83" x14ac:dyDescent="0.4">
      <c r="A192" t="s">
        <v>1139</v>
      </c>
      <c r="B192" t="s">
        <v>64</v>
      </c>
      <c r="C192" t="s">
        <v>82</v>
      </c>
      <c r="D192" t="s">
        <v>82</v>
      </c>
      <c r="E192" t="s">
        <v>49</v>
      </c>
      <c r="F192" t="s">
        <v>12</v>
      </c>
      <c r="G192">
        <v>30</v>
      </c>
      <c r="H192">
        <v>23</v>
      </c>
      <c r="I192">
        <v>33.5</v>
      </c>
      <c r="J192">
        <f t="shared" si="48"/>
        <v>-3.5</v>
      </c>
      <c r="K192">
        <f t="shared" si="49"/>
        <v>-10.5</v>
      </c>
      <c r="L192">
        <v>7</v>
      </c>
      <c r="M192">
        <v>33.68</v>
      </c>
      <c r="N192" t="s">
        <v>657</v>
      </c>
      <c r="O192" t="s">
        <v>658</v>
      </c>
      <c r="P192" t="s">
        <v>13</v>
      </c>
      <c r="Q192">
        <v>0.3</v>
      </c>
      <c r="R192" t="s">
        <v>13</v>
      </c>
      <c r="S192" t="s">
        <v>27</v>
      </c>
      <c r="T192" t="s">
        <v>14</v>
      </c>
      <c r="U192">
        <v>10</v>
      </c>
      <c r="V192" t="s">
        <v>17</v>
      </c>
      <c r="W192">
        <f t="shared" si="50"/>
        <v>1</v>
      </c>
      <c r="X192" t="s">
        <v>14</v>
      </c>
      <c r="Y192" t="s">
        <v>14</v>
      </c>
      <c r="Z192">
        <v>0</v>
      </c>
      <c r="AA192">
        <f t="shared" si="44"/>
        <v>3505.3988228130706</v>
      </c>
      <c r="AB192">
        <f t="shared" si="45"/>
        <v>88.431093971991061</v>
      </c>
      <c r="AC192">
        <f t="shared" si="46"/>
        <v>28.262634463162165</v>
      </c>
      <c r="AD192" t="s">
        <v>27</v>
      </c>
      <c r="AE192" t="s">
        <v>27</v>
      </c>
      <c r="AF192" t="s">
        <v>24</v>
      </c>
      <c r="AG192" t="s">
        <v>14</v>
      </c>
      <c r="AH192" t="s">
        <v>14</v>
      </c>
      <c r="AI192" t="s">
        <v>24</v>
      </c>
      <c r="AJ192" t="s">
        <v>14</v>
      </c>
      <c r="AK192" t="s">
        <v>14</v>
      </c>
      <c r="AL192" t="s">
        <v>14</v>
      </c>
      <c r="AM192">
        <f t="shared" si="47"/>
        <v>31.96006426440211</v>
      </c>
      <c r="AN192">
        <f t="shared" si="51"/>
        <v>3733.9568510442964</v>
      </c>
      <c r="AO192">
        <f t="shared" si="52"/>
        <v>1335.2191875143446</v>
      </c>
      <c r="AP192">
        <f t="shared" si="53"/>
        <v>1125.3959146201514</v>
      </c>
      <c r="AQ192">
        <f t="shared" si="54"/>
        <v>1144.583428964884</v>
      </c>
      <c r="AR192">
        <f t="shared" si="55"/>
        <v>1273.3417489098003</v>
      </c>
      <c r="AS192">
        <f t="shared" si="56"/>
        <v>2.0093363101278667</v>
      </c>
      <c r="AT192">
        <f t="shared" si="57"/>
        <v>60.17860767201136</v>
      </c>
      <c r="AU192">
        <f t="shared" si="58"/>
        <v>18.299080758627685</v>
      </c>
      <c r="AV192">
        <f t="shared" si="59"/>
        <v>30.653365173322022</v>
      </c>
      <c r="AW192">
        <f t="shared" si="60"/>
        <v>30.139499718787743</v>
      </c>
      <c r="AX192">
        <f t="shared" si="61"/>
        <v>34.101672828749422</v>
      </c>
      <c r="AY192">
        <f t="shared" si="62"/>
        <v>1706.2280701754378</v>
      </c>
      <c r="AZ192">
        <f t="shared" si="63"/>
        <v>683.2797796649071</v>
      </c>
      <c r="BA192">
        <f t="shared" si="64"/>
        <v>68.051411521689232</v>
      </c>
      <c r="BB192" t="s">
        <v>30</v>
      </c>
      <c r="BC192" t="s">
        <v>30</v>
      </c>
      <c r="BD192">
        <v>98.54</v>
      </c>
      <c r="BE192">
        <v>87.14</v>
      </c>
      <c r="BF192">
        <v>27.85</v>
      </c>
      <c r="BG192">
        <v>59.3</v>
      </c>
      <c r="BH192">
        <v>1.98</v>
      </c>
      <c r="BI192">
        <v>345422</v>
      </c>
      <c r="BJ192">
        <v>116351</v>
      </c>
      <c r="BK192">
        <v>99739</v>
      </c>
      <c r="BL192">
        <v>31268</v>
      </c>
      <c r="BM192">
        <v>1603</v>
      </c>
      <c r="BN192">
        <v>59541</v>
      </c>
      <c r="BO192">
        <v>5655</v>
      </c>
      <c r="BP192">
        <v>9433</v>
      </c>
      <c r="BQ192">
        <v>1787</v>
      </c>
      <c r="BR192">
        <v>19451</v>
      </c>
      <c r="BS192" t="s">
        <v>21</v>
      </c>
      <c r="BT192" t="s">
        <v>656</v>
      </c>
      <c r="BU192">
        <v>0</v>
      </c>
      <c r="BV192">
        <v>0.1</v>
      </c>
      <c r="BW192">
        <v>0</v>
      </c>
      <c r="BX192">
        <v>0.3</v>
      </c>
      <c r="BY192">
        <v>105.8</v>
      </c>
      <c r="BZ192">
        <v>106.5</v>
      </c>
      <c r="CA192">
        <v>3</v>
      </c>
      <c r="CB192">
        <v>3</v>
      </c>
      <c r="CC192">
        <v>0</v>
      </c>
      <c r="CD192">
        <f t="shared" si="65"/>
        <v>6.5727699530516714E-3</v>
      </c>
      <c r="CE192">
        <v>1</v>
      </c>
    </row>
    <row r="193" spans="1:83" x14ac:dyDescent="0.4">
      <c r="A193" t="s">
        <v>1140</v>
      </c>
      <c r="B193" t="s">
        <v>64</v>
      </c>
      <c r="C193" t="s">
        <v>82</v>
      </c>
      <c r="D193" t="s">
        <v>82</v>
      </c>
      <c r="E193" t="s">
        <v>49</v>
      </c>
      <c r="F193" t="s">
        <v>32</v>
      </c>
      <c r="G193">
        <v>20</v>
      </c>
      <c r="H193">
        <v>20</v>
      </c>
      <c r="I193">
        <v>31</v>
      </c>
      <c r="J193">
        <f t="shared" si="48"/>
        <v>-11</v>
      </c>
      <c r="K193">
        <f t="shared" si="49"/>
        <v>-11</v>
      </c>
      <c r="L193">
        <v>0</v>
      </c>
      <c r="M193">
        <v>30.93</v>
      </c>
      <c r="N193" t="s">
        <v>660</v>
      </c>
      <c r="O193" t="s">
        <v>641</v>
      </c>
      <c r="P193" t="s">
        <v>13</v>
      </c>
      <c r="Q193">
        <v>0.1</v>
      </c>
      <c r="R193" t="s">
        <v>13</v>
      </c>
      <c r="S193" t="s">
        <v>15</v>
      </c>
      <c r="T193" t="s">
        <v>14</v>
      </c>
      <c r="U193">
        <v>0</v>
      </c>
      <c r="V193" t="s">
        <v>14</v>
      </c>
      <c r="W193">
        <v>0</v>
      </c>
      <c r="X193" t="s">
        <v>14</v>
      </c>
      <c r="Y193" t="s">
        <v>14</v>
      </c>
      <c r="Z193">
        <v>0</v>
      </c>
      <c r="AA193">
        <f t="shared" si="44"/>
        <v>4477.0299609205385</v>
      </c>
      <c r="AB193">
        <f t="shared" si="45"/>
        <v>62.396873643074251</v>
      </c>
      <c r="AC193">
        <f t="shared" si="46"/>
        <v>52.627008250108553</v>
      </c>
      <c r="AD193" t="s">
        <v>37</v>
      </c>
      <c r="AE193" t="s">
        <v>15</v>
      </c>
      <c r="AF193" t="s">
        <v>18</v>
      </c>
      <c r="AG193" t="s">
        <v>14</v>
      </c>
      <c r="AH193" t="s">
        <v>14</v>
      </c>
      <c r="AI193" t="s">
        <v>14</v>
      </c>
      <c r="AJ193" t="s">
        <v>14</v>
      </c>
      <c r="AK193" t="s">
        <v>14</v>
      </c>
      <c r="AL193" t="s">
        <v>14</v>
      </c>
      <c r="AM193">
        <f t="shared" si="47"/>
        <v>84.342379958246354</v>
      </c>
      <c r="AN193">
        <f t="shared" si="51"/>
        <v>7022.9645093945728</v>
      </c>
      <c r="AO193">
        <f t="shared" si="52"/>
        <v>2219.5546276965902</v>
      </c>
      <c r="AP193">
        <f t="shared" si="53"/>
        <v>4703.4098816979822</v>
      </c>
      <c r="AQ193">
        <f t="shared" si="54"/>
        <v>6.3326374391092557</v>
      </c>
      <c r="AR193">
        <f t="shared" si="55"/>
        <v>100</v>
      </c>
      <c r="AS193">
        <f t="shared" si="56"/>
        <v>34.172818063395567</v>
      </c>
      <c r="AT193">
        <f t="shared" si="57"/>
        <v>9.8132870169344315</v>
      </c>
      <c r="AU193">
        <f t="shared" si="58"/>
        <v>23.576099881093935</v>
      </c>
      <c r="AV193">
        <f t="shared" si="59"/>
        <v>9.017043202536662E-2</v>
      </c>
      <c r="AW193">
        <f t="shared" si="60"/>
        <v>66.971858898137143</v>
      </c>
      <c r="AX193">
        <f t="shared" si="61"/>
        <v>1.4239001189060643</v>
      </c>
      <c r="AY193">
        <f t="shared" si="62"/>
        <v>211.662817551963</v>
      </c>
      <c r="AZ193">
        <f t="shared" si="63"/>
        <v>1655.7411273486432</v>
      </c>
      <c r="BA193">
        <f t="shared" si="64"/>
        <v>15.727209464161445</v>
      </c>
      <c r="BB193" t="s">
        <v>33</v>
      </c>
      <c r="BC193" t="s">
        <v>33</v>
      </c>
      <c r="BD193">
        <v>23.03</v>
      </c>
      <c r="BE193">
        <v>14.37</v>
      </c>
      <c r="BF193">
        <v>12.12</v>
      </c>
      <c r="BG193">
        <v>2.2599999999999998</v>
      </c>
      <c r="BH193">
        <v>7.87</v>
      </c>
      <c r="BI193">
        <v>103106</v>
      </c>
      <c r="BJ193">
        <v>31895</v>
      </c>
      <c r="BK193">
        <v>91</v>
      </c>
      <c r="BL193">
        <v>40810</v>
      </c>
      <c r="BM193">
        <v>1513</v>
      </c>
      <c r="BN193">
        <v>23793</v>
      </c>
      <c r="BO193">
        <v>1472</v>
      </c>
      <c r="BP193">
        <v>85</v>
      </c>
      <c r="BQ193">
        <v>1261</v>
      </c>
      <c r="BR193">
        <v>1833</v>
      </c>
      <c r="BS193" t="s">
        <v>21</v>
      </c>
      <c r="BT193" t="s">
        <v>659</v>
      </c>
      <c r="BU193">
        <v>0</v>
      </c>
      <c r="BV193">
        <v>0</v>
      </c>
      <c r="BW193">
        <v>0</v>
      </c>
      <c r="BX193">
        <v>0</v>
      </c>
      <c r="BY193">
        <v>23.5</v>
      </c>
      <c r="BZ193">
        <v>23.5</v>
      </c>
      <c r="CA193">
        <v>0</v>
      </c>
      <c r="CB193">
        <v>0</v>
      </c>
      <c r="CC193">
        <v>0</v>
      </c>
      <c r="CD193">
        <f t="shared" si="65"/>
        <v>0</v>
      </c>
      <c r="CE193">
        <v>0</v>
      </c>
    </row>
    <row r="194" spans="1:83" x14ac:dyDescent="0.4">
      <c r="A194" t="s">
        <v>1141</v>
      </c>
      <c r="B194" t="s">
        <v>49</v>
      </c>
      <c r="C194" t="s">
        <v>73</v>
      </c>
      <c r="D194" t="s">
        <v>82</v>
      </c>
      <c r="E194" t="s">
        <v>49</v>
      </c>
      <c r="F194" t="s">
        <v>12</v>
      </c>
      <c r="G194">
        <v>70</v>
      </c>
      <c r="H194">
        <v>41</v>
      </c>
      <c r="I194">
        <v>31.5</v>
      </c>
      <c r="J194">
        <f t="shared" si="48"/>
        <v>38.5</v>
      </c>
      <c r="K194">
        <f t="shared" si="49"/>
        <v>9.5</v>
      </c>
      <c r="L194">
        <v>29</v>
      </c>
      <c r="M194">
        <v>31.46</v>
      </c>
      <c r="N194" t="s">
        <v>662</v>
      </c>
      <c r="O194" t="s">
        <v>663</v>
      </c>
      <c r="P194" t="s">
        <v>26</v>
      </c>
      <c r="Q194">
        <v>6.9</v>
      </c>
      <c r="R194" t="s">
        <v>26</v>
      </c>
      <c r="S194" t="s">
        <v>35</v>
      </c>
      <c r="T194" t="s">
        <v>14</v>
      </c>
      <c r="U194">
        <v>2.5</v>
      </c>
      <c r="V194" t="s">
        <v>14</v>
      </c>
      <c r="W194">
        <f t="shared" si="50"/>
        <v>1</v>
      </c>
      <c r="X194" t="s">
        <v>17</v>
      </c>
      <c r="Y194" t="s">
        <v>14</v>
      </c>
      <c r="Z194">
        <v>0</v>
      </c>
      <c r="AA194">
        <f t="shared" ref="AA194:AA257" si="66">BI194/BD194</f>
        <v>4103.315177190505</v>
      </c>
      <c r="AB194">
        <f t="shared" ref="AB194:AB257" si="67">BE194*100/BD194</f>
        <v>44.038733104700412</v>
      </c>
      <c r="AC194">
        <f t="shared" ref="AC194:AC257" si="68">BF194*100/BD194</f>
        <v>20.671104834913589</v>
      </c>
      <c r="AD194" t="s">
        <v>15</v>
      </c>
      <c r="AE194" t="s">
        <v>27</v>
      </c>
      <c r="AF194" t="s">
        <v>18</v>
      </c>
      <c r="AG194" t="s">
        <v>17</v>
      </c>
      <c r="AH194" t="s">
        <v>17</v>
      </c>
      <c r="AI194" t="s">
        <v>18</v>
      </c>
      <c r="AJ194" t="s">
        <v>14</v>
      </c>
      <c r="AK194" t="s">
        <v>14</v>
      </c>
      <c r="AL194" t="s">
        <v>14</v>
      </c>
      <c r="AM194">
        <f t="shared" ref="AM194:AM245" si="69">BF194*100/BE194</f>
        <v>46.938463887616436</v>
      </c>
      <c r="AN194">
        <f t="shared" si="51"/>
        <v>5310.131317758437</v>
      </c>
      <c r="AO194">
        <f t="shared" si="52"/>
        <v>2931.5926095587115</v>
      </c>
      <c r="AP194">
        <f t="shared" si="53"/>
        <v>1063.421896472744</v>
      </c>
      <c r="AQ194">
        <f t="shared" si="54"/>
        <v>1088.4867918766224</v>
      </c>
      <c r="AR194">
        <f t="shared" si="55"/>
        <v>1315.1168117269813</v>
      </c>
      <c r="AS194">
        <f t="shared" si="56"/>
        <v>2.0442471925223589</v>
      </c>
      <c r="AT194">
        <f t="shared" si="57"/>
        <v>23.367628269786831</v>
      </c>
      <c r="AU194">
        <f t="shared" si="58"/>
        <v>11.007144284644173</v>
      </c>
      <c r="AV194">
        <f t="shared" si="59"/>
        <v>20.498302711204982</v>
      </c>
      <c r="AW194">
        <f t="shared" si="60"/>
        <v>20.026282455885589</v>
      </c>
      <c r="AX194">
        <f t="shared" si="61"/>
        <v>24.766182473282619</v>
      </c>
      <c r="AY194">
        <f t="shared" si="62"/>
        <v>3145.9565008411437</v>
      </c>
      <c r="AZ194">
        <f t="shared" si="63"/>
        <v>584.4938158497481</v>
      </c>
      <c r="BA194">
        <f t="shared" si="64"/>
        <v>53.061536112383571</v>
      </c>
      <c r="BB194" t="s">
        <v>16</v>
      </c>
      <c r="BC194" t="s">
        <v>16</v>
      </c>
      <c r="BD194">
        <v>297.42</v>
      </c>
      <c r="BE194">
        <v>130.97999999999999</v>
      </c>
      <c r="BF194">
        <v>61.48</v>
      </c>
      <c r="BG194">
        <v>69.5</v>
      </c>
      <c r="BH194">
        <v>6.08</v>
      </c>
      <c r="BI194">
        <v>1220408</v>
      </c>
      <c r="BJ194">
        <v>383980</v>
      </c>
      <c r="BK194">
        <v>142570</v>
      </c>
      <c r="BL194">
        <v>23128</v>
      </c>
      <c r="BM194">
        <v>4410</v>
      </c>
      <c r="BN194">
        <v>76557</v>
      </c>
      <c r="BO194">
        <v>35192</v>
      </c>
      <c r="BP194">
        <v>25449</v>
      </c>
      <c r="BQ194">
        <v>4235</v>
      </c>
      <c r="BR194">
        <v>523613</v>
      </c>
      <c r="BS194" t="s">
        <v>21</v>
      </c>
      <c r="BT194" t="s">
        <v>661</v>
      </c>
      <c r="BU194">
        <v>0.1</v>
      </c>
      <c r="BV194">
        <v>2.5</v>
      </c>
      <c r="BW194">
        <v>3.5</v>
      </c>
      <c r="BX194">
        <v>0.3</v>
      </c>
      <c r="BY194">
        <v>310.39999999999998</v>
      </c>
      <c r="BZ194">
        <v>357.9</v>
      </c>
      <c r="CA194">
        <v>1</v>
      </c>
      <c r="CB194">
        <v>1</v>
      </c>
      <c r="CC194">
        <v>0</v>
      </c>
      <c r="CD194">
        <f t="shared" si="65"/>
        <v>0.13271863649063986</v>
      </c>
      <c r="CE194">
        <v>1</v>
      </c>
    </row>
    <row r="195" spans="1:83" x14ac:dyDescent="0.4">
      <c r="A195" t="s">
        <v>1142</v>
      </c>
      <c r="B195" t="s">
        <v>34</v>
      </c>
      <c r="C195" t="s">
        <v>34</v>
      </c>
      <c r="D195" t="s">
        <v>34</v>
      </c>
      <c r="E195" t="s">
        <v>49</v>
      </c>
      <c r="F195" t="s">
        <v>32</v>
      </c>
      <c r="G195">
        <v>40</v>
      </c>
      <c r="H195">
        <v>30</v>
      </c>
      <c r="I195">
        <v>5</v>
      </c>
      <c r="J195">
        <f t="shared" ref="J195:J258" si="70">G195-I195</f>
        <v>35</v>
      </c>
      <c r="K195">
        <f t="shared" ref="K195:K258" si="71">H195-I195</f>
        <v>25</v>
      </c>
      <c r="L195">
        <v>10</v>
      </c>
      <c r="M195">
        <v>5.03</v>
      </c>
      <c r="N195" t="s">
        <v>665</v>
      </c>
      <c r="O195" t="s">
        <v>666</v>
      </c>
      <c r="P195" t="s">
        <v>13</v>
      </c>
      <c r="Q195">
        <v>0.1</v>
      </c>
      <c r="R195" t="s">
        <v>13</v>
      </c>
      <c r="S195" t="s">
        <v>15</v>
      </c>
      <c r="T195" t="s">
        <v>14</v>
      </c>
      <c r="U195">
        <v>2.5</v>
      </c>
      <c r="V195" t="s">
        <v>14</v>
      </c>
      <c r="W195">
        <v>0</v>
      </c>
      <c r="X195" t="s">
        <v>14</v>
      </c>
      <c r="Y195" t="s">
        <v>14</v>
      </c>
      <c r="Z195">
        <v>0</v>
      </c>
      <c r="AA195">
        <f t="shared" si="66"/>
        <v>2893.0912311780339</v>
      </c>
      <c r="AB195">
        <f t="shared" si="67"/>
        <v>4.2515500442869802</v>
      </c>
      <c r="AC195">
        <f t="shared" si="68"/>
        <v>3.6315323294951285</v>
      </c>
      <c r="AD195" t="s">
        <v>36</v>
      </c>
      <c r="AE195" t="s">
        <v>15</v>
      </c>
      <c r="AF195" t="s">
        <v>18</v>
      </c>
      <c r="AG195" t="s">
        <v>14</v>
      </c>
      <c r="AH195" t="s">
        <v>14</v>
      </c>
      <c r="AI195" t="s">
        <v>14</v>
      </c>
      <c r="AJ195" t="s">
        <v>14</v>
      </c>
      <c r="AK195" t="s">
        <v>14</v>
      </c>
      <c r="AL195" t="s">
        <v>14</v>
      </c>
      <c r="AM195">
        <f t="shared" si="69"/>
        <v>85.416666666666671</v>
      </c>
      <c r="AN195">
        <f t="shared" ref="AN195:AN258" si="72">SUM(BJ195:BQ195)/BE195</f>
        <v>5985.416666666667</v>
      </c>
      <c r="AO195">
        <f t="shared" ref="AO195:AO258" si="73">BJ195/BE195</f>
        <v>3422.916666666667</v>
      </c>
      <c r="AP195">
        <f t="shared" ref="AP195:AP258" si="74">SUM(BL195:BO195)/BE195</f>
        <v>2306.25</v>
      </c>
      <c r="AQ195">
        <f t="shared" ref="AQ195:AQ258" si="75">BK195/BE195</f>
        <v>60.416666666666671</v>
      </c>
      <c r="AR195">
        <f t="shared" ref="AR195:AR258" si="76">SUM(BK195,BP195,BQ195)/BE195</f>
        <v>256.25</v>
      </c>
      <c r="AS195">
        <f t="shared" ref="AS195:AS258" si="77">BH195*100/BD195</f>
        <v>9.5659875996457053</v>
      </c>
      <c r="AT195">
        <f t="shared" ref="AT195:AT258" si="78">BG195*100/BD195</f>
        <v>0.6200177147918513</v>
      </c>
      <c r="AU195">
        <f t="shared" ref="AU195:AU258" si="79">BN195*100/SUM(BJ195:BQ195)</f>
        <v>22.415593456317438</v>
      </c>
      <c r="AV195">
        <f t="shared" ref="AV195:AV258" si="80">BK195*100/SUM(BJ195:BQ195)</f>
        <v>1.0093978419770275</v>
      </c>
      <c r="AW195">
        <f t="shared" ref="AW195:AW258" si="81">SUM(BL195,BM195,BN195,BO195)*100/SUM(BJ195:BQ195)</f>
        <v>38.531152105812737</v>
      </c>
      <c r="AX195">
        <f t="shared" ref="AX195:AX258" si="82">SUM(BK195,BP195,BQ195)*100/SUM(BJ195:BQ195)</f>
        <v>4.2812391228680822</v>
      </c>
      <c r="AY195">
        <f t="shared" ref="AY195:AY258" si="83">BR195/(BD195-BE195)</f>
        <v>2755.4116558741907</v>
      </c>
      <c r="AZ195">
        <f t="shared" ref="AZ195:AZ258" si="84">BN195/BE195</f>
        <v>1341.6666666666667</v>
      </c>
      <c r="BA195">
        <f t="shared" ref="BA195:BA258" si="85">BG195*100/BE195</f>
        <v>14.583333333333336</v>
      </c>
      <c r="BB195" t="s">
        <v>33</v>
      </c>
      <c r="BC195" t="s">
        <v>33</v>
      </c>
      <c r="BD195">
        <v>11.29</v>
      </c>
      <c r="BE195">
        <v>0.48</v>
      </c>
      <c r="BF195">
        <v>0.41</v>
      </c>
      <c r="BG195">
        <v>7.0000000000000007E-2</v>
      </c>
      <c r="BH195">
        <v>1.08</v>
      </c>
      <c r="BI195">
        <v>32663</v>
      </c>
      <c r="BJ195">
        <v>1643</v>
      </c>
      <c r="BK195">
        <v>29</v>
      </c>
      <c r="BL195">
        <v>369</v>
      </c>
      <c r="BM195">
        <v>40</v>
      </c>
      <c r="BN195">
        <v>644</v>
      </c>
      <c r="BO195">
        <v>54</v>
      </c>
      <c r="BP195">
        <v>21</v>
      </c>
      <c r="BQ195">
        <v>73</v>
      </c>
      <c r="BR195">
        <v>29786</v>
      </c>
      <c r="BS195" t="s">
        <v>44</v>
      </c>
      <c r="BT195" t="s">
        <v>382</v>
      </c>
      <c r="BU195">
        <v>0</v>
      </c>
      <c r="BV195">
        <v>0</v>
      </c>
      <c r="BW195">
        <v>0</v>
      </c>
      <c r="BX195">
        <v>0</v>
      </c>
      <c r="BY195">
        <v>21.1</v>
      </c>
      <c r="BZ195">
        <v>21.1</v>
      </c>
      <c r="CA195">
        <v>0</v>
      </c>
      <c r="CB195">
        <v>0</v>
      </c>
      <c r="CC195">
        <v>0</v>
      </c>
      <c r="CD195">
        <f t="shared" ref="CD195:CD258" si="86">1-(BY195/BZ195)</f>
        <v>0</v>
      </c>
      <c r="CE195">
        <v>0</v>
      </c>
    </row>
    <row r="196" spans="1:83" x14ac:dyDescent="0.4">
      <c r="A196" t="s">
        <v>1143</v>
      </c>
      <c r="B196" t="s">
        <v>43</v>
      </c>
      <c r="C196" t="s">
        <v>82</v>
      </c>
      <c r="D196" t="s">
        <v>82</v>
      </c>
      <c r="E196" t="s">
        <v>49</v>
      </c>
      <c r="F196" t="s">
        <v>12</v>
      </c>
      <c r="G196">
        <v>80</v>
      </c>
      <c r="H196">
        <v>40</v>
      </c>
      <c r="I196">
        <v>48.5</v>
      </c>
      <c r="J196">
        <f t="shared" si="70"/>
        <v>31.5</v>
      </c>
      <c r="K196">
        <f t="shared" si="71"/>
        <v>-8.5</v>
      </c>
      <c r="L196">
        <v>40</v>
      </c>
      <c r="M196">
        <v>48.74</v>
      </c>
      <c r="N196" t="s">
        <v>668</v>
      </c>
      <c r="O196" t="s">
        <v>669</v>
      </c>
      <c r="P196" t="s">
        <v>13</v>
      </c>
      <c r="Q196">
        <v>0.4</v>
      </c>
      <c r="R196" t="s">
        <v>13</v>
      </c>
      <c r="S196" t="s">
        <v>35</v>
      </c>
      <c r="T196" t="s">
        <v>14</v>
      </c>
      <c r="U196">
        <v>2.5</v>
      </c>
      <c r="V196" t="s">
        <v>14</v>
      </c>
      <c r="W196">
        <f>BC196/BB196</f>
        <v>1</v>
      </c>
      <c r="X196" t="s">
        <v>14</v>
      </c>
      <c r="Y196" t="s">
        <v>14</v>
      </c>
      <c r="Z196">
        <v>0</v>
      </c>
      <c r="AA196">
        <f t="shared" si="66"/>
        <v>3352.5778495887193</v>
      </c>
      <c r="AB196">
        <f t="shared" si="67"/>
        <v>64.350763807285546</v>
      </c>
      <c r="AC196">
        <f t="shared" si="68"/>
        <v>39.071680376028205</v>
      </c>
      <c r="AD196" t="s">
        <v>27</v>
      </c>
      <c r="AE196" t="s">
        <v>27</v>
      </c>
      <c r="AF196" t="s">
        <v>18</v>
      </c>
      <c r="AG196" t="s">
        <v>14</v>
      </c>
      <c r="AH196" t="s">
        <v>14</v>
      </c>
      <c r="AI196" t="s">
        <v>41</v>
      </c>
      <c r="AJ196" t="s">
        <v>14</v>
      </c>
      <c r="AK196" t="s">
        <v>14</v>
      </c>
      <c r="AL196" t="s">
        <v>17</v>
      </c>
      <c r="AM196">
        <f t="shared" si="69"/>
        <v>60.716731339876738</v>
      </c>
      <c r="AN196">
        <f t="shared" si="72"/>
        <v>4557.4640493038114</v>
      </c>
      <c r="AO196">
        <f t="shared" si="73"/>
        <v>2539.340333257247</v>
      </c>
      <c r="AP196">
        <f t="shared" si="74"/>
        <v>711.82378452408125</v>
      </c>
      <c r="AQ196">
        <f t="shared" si="75"/>
        <v>876.75188313170509</v>
      </c>
      <c r="AR196">
        <f t="shared" si="76"/>
        <v>1306.2999315224833</v>
      </c>
      <c r="AS196">
        <f t="shared" si="77"/>
        <v>1.2191539365452408</v>
      </c>
      <c r="AT196">
        <f t="shared" si="78"/>
        <v>25.279083431257344</v>
      </c>
      <c r="AU196">
        <f t="shared" si="79"/>
        <v>7.6689413385087333</v>
      </c>
      <c r="AV196">
        <f t="shared" si="80"/>
        <v>19.237713641770487</v>
      </c>
      <c r="AW196">
        <f t="shared" si="81"/>
        <v>15.618856820885243</v>
      </c>
      <c r="AX196">
        <f t="shared" si="82"/>
        <v>28.662868590746886</v>
      </c>
      <c r="AY196">
        <f t="shared" si="83"/>
        <v>1170.9517923362177</v>
      </c>
      <c r="AZ196">
        <f t="shared" si="84"/>
        <v>349.50924446473408</v>
      </c>
      <c r="BA196">
        <f t="shared" si="85"/>
        <v>39.283268660123255</v>
      </c>
      <c r="BB196" t="s">
        <v>31</v>
      </c>
      <c r="BC196" t="s">
        <v>31</v>
      </c>
      <c r="BD196">
        <v>136.16</v>
      </c>
      <c r="BE196">
        <v>87.62</v>
      </c>
      <c r="BF196">
        <v>53.2</v>
      </c>
      <c r="BG196">
        <v>34.42</v>
      </c>
      <c r="BH196">
        <v>1.66</v>
      </c>
      <c r="BI196">
        <v>456487</v>
      </c>
      <c r="BJ196">
        <v>222497</v>
      </c>
      <c r="BK196">
        <v>76821</v>
      </c>
      <c r="BL196">
        <v>27168</v>
      </c>
      <c r="BM196">
        <v>1906</v>
      </c>
      <c r="BN196">
        <v>30624</v>
      </c>
      <c r="BO196">
        <v>2672</v>
      </c>
      <c r="BP196">
        <v>22327</v>
      </c>
      <c r="BQ196">
        <v>15310</v>
      </c>
      <c r="BR196">
        <v>56838</v>
      </c>
      <c r="BS196" t="s">
        <v>21</v>
      </c>
      <c r="BT196" t="s">
        <v>667</v>
      </c>
      <c r="BU196">
        <v>0</v>
      </c>
      <c r="BV196">
        <v>1.2</v>
      </c>
      <c r="BW196">
        <v>0</v>
      </c>
      <c r="BX196">
        <v>0.2</v>
      </c>
      <c r="BY196">
        <v>153.19999999999999</v>
      </c>
      <c r="BZ196">
        <v>156</v>
      </c>
      <c r="CA196">
        <v>2</v>
      </c>
      <c r="CB196">
        <v>2</v>
      </c>
      <c r="CC196">
        <v>0</v>
      </c>
      <c r="CD196">
        <f t="shared" si="86"/>
        <v>1.7948717948717996E-2</v>
      </c>
      <c r="CE196">
        <v>1</v>
      </c>
    </row>
    <row r="197" spans="1:83" x14ac:dyDescent="0.4">
      <c r="A197" t="s">
        <v>1144</v>
      </c>
      <c r="B197" t="s">
        <v>34</v>
      </c>
      <c r="C197" t="s">
        <v>34</v>
      </c>
      <c r="D197" t="s">
        <v>34</v>
      </c>
      <c r="E197" t="s">
        <v>49</v>
      </c>
      <c r="F197" t="s">
        <v>22</v>
      </c>
      <c r="G197">
        <v>50</v>
      </c>
      <c r="H197">
        <v>90</v>
      </c>
      <c r="I197">
        <v>44.5</v>
      </c>
      <c r="J197">
        <f t="shared" si="70"/>
        <v>5.5</v>
      </c>
      <c r="K197">
        <f t="shared" si="71"/>
        <v>45.5</v>
      </c>
      <c r="L197">
        <v>-40</v>
      </c>
      <c r="M197">
        <v>44.5</v>
      </c>
      <c r="N197" t="s">
        <v>137</v>
      </c>
      <c r="O197" t="s">
        <v>671</v>
      </c>
      <c r="P197" t="s">
        <v>13</v>
      </c>
      <c r="Q197">
        <v>0.1</v>
      </c>
      <c r="R197" t="s">
        <v>38</v>
      </c>
      <c r="S197" t="s">
        <v>15</v>
      </c>
      <c r="T197" t="s">
        <v>14</v>
      </c>
      <c r="U197">
        <v>50</v>
      </c>
      <c r="V197" t="s">
        <v>17</v>
      </c>
      <c r="W197">
        <f>BC197/BB197</f>
        <v>1</v>
      </c>
      <c r="X197" t="s">
        <v>14</v>
      </c>
      <c r="Y197" t="s">
        <v>14</v>
      </c>
      <c r="Z197">
        <v>20</v>
      </c>
      <c r="AA197">
        <f t="shared" si="66"/>
        <v>1991.2408759124087</v>
      </c>
      <c r="AB197">
        <f t="shared" si="67"/>
        <v>44.525547445255469</v>
      </c>
      <c r="AC197">
        <f t="shared" si="68"/>
        <v>10.218978102189782</v>
      </c>
      <c r="AD197" t="s">
        <v>15</v>
      </c>
      <c r="AE197" t="s">
        <v>36</v>
      </c>
      <c r="AF197" t="s">
        <v>24</v>
      </c>
      <c r="AG197" t="s">
        <v>14</v>
      </c>
      <c r="AH197" t="s">
        <v>14</v>
      </c>
      <c r="AI197" t="s">
        <v>18</v>
      </c>
      <c r="AJ197" t="s">
        <v>14</v>
      </c>
      <c r="AK197" t="s">
        <v>14</v>
      </c>
      <c r="AL197" t="s">
        <v>14</v>
      </c>
      <c r="AM197">
        <f t="shared" si="69"/>
        <v>22.95081967213115</v>
      </c>
      <c r="AN197">
        <f t="shared" si="72"/>
        <v>3481.967213114754</v>
      </c>
      <c r="AO197">
        <f t="shared" si="73"/>
        <v>1990.1639344262296</v>
      </c>
      <c r="AP197">
        <f t="shared" si="74"/>
        <v>481.96721311475409</v>
      </c>
      <c r="AQ197">
        <f t="shared" si="75"/>
        <v>800</v>
      </c>
      <c r="AR197">
        <f t="shared" si="76"/>
        <v>1009.8360655737705</v>
      </c>
      <c r="AS197">
        <f t="shared" si="77"/>
        <v>45.255474452554743</v>
      </c>
      <c r="AT197">
        <f t="shared" si="78"/>
        <v>34.306569343065689</v>
      </c>
      <c r="AU197">
        <f t="shared" si="79"/>
        <v>10.263653483992467</v>
      </c>
      <c r="AV197">
        <f t="shared" si="80"/>
        <v>22.975517890772128</v>
      </c>
      <c r="AW197">
        <f t="shared" si="81"/>
        <v>13.841807909604519</v>
      </c>
      <c r="AX197">
        <f t="shared" si="82"/>
        <v>29.001883239171374</v>
      </c>
      <c r="AY197">
        <f t="shared" si="83"/>
        <v>792.10526315789457</v>
      </c>
      <c r="AZ197">
        <f t="shared" si="84"/>
        <v>357.3770491803279</v>
      </c>
      <c r="BA197">
        <f t="shared" si="85"/>
        <v>77.049180327868854</v>
      </c>
      <c r="BB197" t="s">
        <v>30</v>
      </c>
      <c r="BC197" t="s">
        <v>30</v>
      </c>
      <c r="BD197">
        <v>1.37</v>
      </c>
      <c r="BE197">
        <v>0.61</v>
      </c>
      <c r="BF197">
        <v>0.14000000000000001</v>
      </c>
      <c r="BG197">
        <v>0.47</v>
      </c>
      <c r="BH197">
        <v>0.62</v>
      </c>
      <c r="BI197">
        <v>2728</v>
      </c>
      <c r="BJ197">
        <v>1214</v>
      </c>
      <c r="BK197">
        <v>488</v>
      </c>
      <c r="BL197">
        <v>45</v>
      </c>
      <c r="BM197">
        <v>3</v>
      </c>
      <c r="BN197">
        <v>218</v>
      </c>
      <c r="BO197">
        <v>28</v>
      </c>
      <c r="BP197">
        <v>36</v>
      </c>
      <c r="BQ197">
        <v>92</v>
      </c>
      <c r="BR197">
        <v>602</v>
      </c>
      <c r="BS197" t="s">
        <v>44</v>
      </c>
      <c r="BT197" t="s">
        <v>356</v>
      </c>
      <c r="BU197">
        <v>0</v>
      </c>
      <c r="BV197">
        <v>0.4</v>
      </c>
      <c r="BW197">
        <v>0</v>
      </c>
      <c r="BX197">
        <v>14.6</v>
      </c>
      <c r="BY197">
        <v>1.5</v>
      </c>
      <c r="BZ197">
        <v>1.8</v>
      </c>
      <c r="CA197">
        <v>3</v>
      </c>
      <c r="CB197">
        <v>3</v>
      </c>
      <c r="CC197">
        <v>0</v>
      </c>
      <c r="CD197">
        <f t="shared" si="86"/>
        <v>0.16666666666666674</v>
      </c>
      <c r="CE197">
        <v>1</v>
      </c>
    </row>
    <row r="198" spans="1:83" x14ac:dyDescent="0.4">
      <c r="A198" t="s">
        <v>1145</v>
      </c>
      <c r="B198" t="s">
        <v>34</v>
      </c>
      <c r="C198" t="s">
        <v>34</v>
      </c>
      <c r="D198" t="s">
        <v>34</v>
      </c>
      <c r="E198" t="s">
        <v>49</v>
      </c>
      <c r="F198" t="s">
        <v>32</v>
      </c>
      <c r="G198">
        <v>60</v>
      </c>
      <c r="H198">
        <v>45</v>
      </c>
      <c r="I198">
        <v>63.5</v>
      </c>
      <c r="J198">
        <f t="shared" si="70"/>
        <v>-3.5</v>
      </c>
      <c r="K198">
        <f t="shared" si="71"/>
        <v>-18.5</v>
      </c>
      <c r="L198">
        <v>15</v>
      </c>
      <c r="M198">
        <v>63.3</v>
      </c>
      <c r="N198" t="s">
        <v>673</v>
      </c>
      <c r="O198" t="s">
        <v>674</v>
      </c>
      <c r="P198" t="s">
        <v>13</v>
      </c>
      <c r="Q198">
        <v>0.3</v>
      </c>
      <c r="R198" t="s">
        <v>13</v>
      </c>
      <c r="S198" t="s">
        <v>27</v>
      </c>
      <c r="T198" t="s">
        <v>14</v>
      </c>
      <c r="U198">
        <v>10</v>
      </c>
      <c r="V198" t="s">
        <v>17</v>
      </c>
      <c r="W198">
        <v>0</v>
      </c>
      <c r="X198" t="s">
        <v>14</v>
      </c>
      <c r="Y198" t="s">
        <v>14</v>
      </c>
      <c r="Z198">
        <v>0</v>
      </c>
      <c r="AA198">
        <f t="shared" si="66"/>
        <v>712.47152619589986</v>
      </c>
      <c r="AB198">
        <f t="shared" si="67"/>
        <v>12.015945330296129</v>
      </c>
      <c r="AC198">
        <f t="shared" si="68"/>
        <v>10.763097949886106</v>
      </c>
      <c r="AD198" t="s">
        <v>36</v>
      </c>
      <c r="AE198" t="s">
        <v>15</v>
      </c>
      <c r="AF198" t="s">
        <v>18</v>
      </c>
      <c r="AG198" t="s">
        <v>14</v>
      </c>
      <c r="AH198" t="s">
        <v>14</v>
      </c>
      <c r="AI198" t="s">
        <v>14</v>
      </c>
      <c r="AJ198" t="s">
        <v>14</v>
      </c>
      <c r="AK198" t="s">
        <v>14</v>
      </c>
      <c r="AL198" t="s">
        <v>14</v>
      </c>
      <c r="AM198">
        <f t="shared" si="69"/>
        <v>89.573459715639814</v>
      </c>
      <c r="AN198">
        <f t="shared" si="72"/>
        <v>4704.7393364928912</v>
      </c>
      <c r="AO198">
        <f t="shared" si="73"/>
        <v>3753.0805687203792</v>
      </c>
      <c r="AP198">
        <f t="shared" si="74"/>
        <v>781.51658767772517</v>
      </c>
      <c r="AQ198">
        <f t="shared" si="75"/>
        <v>94.786729857819907</v>
      </c>
      <c r="AR198">
        <f t="shared" si="76"/>
        <v>170.14218009478674</v>
      </c>
      <c r="AS198">
        <f t="shared" si="77"/>
        <v>67.596810933940773</v>
      </c>
      <c r="AT198">
        <f t="shared" si="78"/>
        <v>1.2528473804100229</v>
      </c>
      <c r="AU198">
        <f t="shared" si="79"/>
        <v>8.9453006950740406</v>
      </c>
      <c r="AV198">
        <f t="shared" si="80"/>
        <v>2.0147073637554147</v>
      </c>
      <c r="AW198">
        <f t="shared" si="81"/>
        <v>16.611262214163393</v>
      </c>
      <c r="AX198">
        <f t="shared" si="82"/>
        <v>3.6163997179409693</v>
      </c>
      <c r="AY198">
        <f t="shared" si="83"/>
        <v>166.92556634304208</v>
      </c>
      <c r="AZ198">
        <f t="shared" si="84"/>
        <v>420.85308056872043</v>
      </c>
      <c r="BA198">
        <f t="shared" si="85"/>
        <v>10.42654028436019</v>
      </c>
      <c r="BB198" t="s">
        <v>33</v>
      </c>
      <c r="BC198" t="s">
        <v>33</v>
      </c>
      <c r="BD198">
        <v>17.559999999999999</v>
      </c>
      <c r="BE198">
        <v>2.11</v>
      </c>
      <c r="BF198">
        <v>1.89</v>
      </c>
      <c r="BG198">
        <v>0.22</v>
      </c>
      <c r="BH198">
        <v>11.87</v>
      </c>
      <c r="BI198">
        <v>12511</v>
      </c>
      <c r="BJ198">
        <v>7919</v>
      </c>
      <c r="BK198">
        <v>200</v>
      </c>
      <c r="BL198">
        <v>625</v>
      </c>
      <c r="BM198">
        <v>22</v>
      </c>
      <c r="BN198">
        <v>888</v>
      </c>
      <c r="BO198">
        <v>114</v>
      </c>
      <c r="BP198">
        <v>41</v>
      </c>
      <c r="BQ198">
        <v>118</v>
      </c>
      <c r="BR198">
        <v>2579</v>
      </c>
      <c r="BS198" t="s">
        <v>21</v>
      </c>
      <c r="BT198" t="s">
        <v>672</v>
      </c>
      <c r="BU198">
        <v>0</v>
      </c>
      <c r="BV198">
        <v>0</v>
      </c>
      <c r="BW198">
        <v>0</v>
      </c>
      <c r="BX198">
        <v>0.1</v>
      </c>
      <c r="BY198">
        <v>24.5</v>
      </c>
      <c r="BZ198">
        <v>24.6</v>
      </c>
      <c r="CA198">
        <v>0</v>
      </c>
      <c r="CB198">
        <v>0</v>
      </c>
      <c r="CC198">
        <v>0</v>
      </c>
      <c r="CD198">
        <f t="shared" si="86"/>
        <v>4.0650406504065817E-3</v>
      </c>
      <c r="CE198">
        <v>0</v>
      </c>
    </row>
    <row r="199" spans="1:83" x14ac:dyDescent="0.4">
      <c r="A199" t="s">
        <v>1146</v>
      </c>
      <c r="B199" t="s">
        <v>25</v>
      </c>
      <c r="C199" t="s">
        <v>82</v>
      </c>
      <c r="D199" t="s">
        <v>82</v>
      </c>
      <c r="E199" t="s">
        <v>49</v>
      </c>
      <c r="F199" t="s">
        <v>32</v>
      </c>
      <c r="G199">
        <v>60</v>
      </c>
      <c r="H199">
        <v>61</v>
      </c>
      <c r="I199">
        <v>84.5</v>
      </c>
      <c r="J199">
        <f t="shared" si="70"/>
        <v>-24.5</v>
      </c>
      <c r="K199">
        <f t="shared" si="71"/>
        <v>-23.5</v>
      </c>
      <c r="L199">
        <v>-1</v>
      </c>
      <c r="M199">
        <v>84.31</v>
      </c>
      <c r="N199" t="s">
        <v>372</v>
      </c>
      <c r="O199" t="s">
        <v>676</v>
      </c>
      <c r="P199" t="s">
        <v>13</v>
      </c>
      <c r="Q199">
        <v>0.1</v>
      </c>
      <c r="R199" t="s">
        <v>13</v>
      </c>
      <c r="S199" t="s">
        <v>15</v>
      </c>
      <c r="T199" t="s">
        <v>14</v>
      </c>
      <c r="U199">
        <v>2.5</v>
      </c>
      <c r="V199" t="s">
        <v>14</v>
      </c>
      <c r="W199">
        <v>0</v>
      </c>
      <c r="X199" t="s">
        <v>14</v>
      </c>
      <c r="Y199" t="s">
        <v>14</v>
      </c>
      <c r="Z199">
        <v>0</v>
      </c>
      <c r="AA199">
        <f t="shared" si="66"/>
        <v>821.81694608065243</v>
      </c>
      <c r="AB199">
        <f t="shared" si="67"/>
        <v>25.101948346171273</v>
      </c>
      <c r="AC199">
        <f t="shared" si="68"/>
        <v>22.881739918441323</v>
      </c>
      <c r="AD199" t="s">
        <v>27</v>
      </c>
      <c r="AE199" t="s">
        <v>15</v>
      </c>
      <c r="AF199" t="s">
        <v>18</v>
      </c>
      <c r="AG199" t="s">
        <v>14</v>
      </c>
      <c r="AH199" t="s">
        <v>14</v>
      </c>
      <c r="AI199" t="s">
        <v>14</v>
      </c>
      <c r="AJ199" t="s">
        <v>14</v>
      </c>
      <c r="AK199" t="s">
        <v>14</v>
      </c>
      <c r="AL199" t="s">
        <v>14</v>
      </c>
      <c r="AM199">
        <f t="shared" si="69"/>
        <v>91.155234657039713</v>
      </c>
      <c r="AN199">
        <f t="shared" si="72"/>
        <v>3131.0469314079423</v>
      </c>
      <c r="AO199">
        <f t="shared" si="73"/>
        <v>2760.1083032490974</v>
      </c>
      <c r="AP199">
        <f t="shared" si="74"/>
        <v>284.74729241877259</v>
      </c>
      <c r="AQ199">
        <f t="shared" si="75"/>
        <v>62.274368231046928</v>
      </c>
      <c r="AR199">
        <f t="shared" si="76"/>
        <v>86.191335740072205</v>
      </c>
      <c r="AS199">
        <f t="shared" si="77"/>
        <v>64.068871771635699</v>
      </c>
      <c r="AT199">
        <f t="shared" si="78"/>
        <v>2.2202084277299501</v>
      </c>
      <c r="AU199">
        <f t="shared" si="79"/>
        <v>2.7153234175025944</v>
      </c>
      <c r="AV199">
        <f t="shared" si="80"/>
        <v>1.9889311656866135</v>
      </c>
      <c r="AW199">
        <f t="shared" si="81"/>
        <v>9.0943156923786468</v>
      </c>
      <c r="AX199">
        <f t="shared" si="82"/>
        <v>2.7527960336677042</v>
      </c>
      <c r="AY199">
        <f t="shared" si="83"/>
        <v>47.58015728977616</v>
      </c>
      <c r="AZ199">
        <f t="shared" si="84"/>
        <v>85.018050541516246</v>
      </c>
      <c r="BA199">
        <f t="shared" si="85"/>
        <v>8.8447653429602884</v>
      </c>
      <c r="BB199" t="s">
        <v>33</v>
      </c>
      <c r="BC199" t="s">
        <v>33</v>
      </c>
      <c r="BD199">
        <v>44.14</v>
      </c>
      <c r="BE199">
        <v>11.08</v>
      </c>
      <c r="BF199">
        <v>10.1</v>
      </c>
      <c r="BG199">
        <v>0.98</v>
      </c>
      <c r="BH199">
        <v>28.28</v>
      </c>
      <c r="BI199">
        <v>36275</v>
      </c>
      <c r="BJ199">
        <v>30582</v>
      </c>
      <c r="BK199">
        <v>690</v>
      </c>
      <c r="BL199">
        <v>1953</v>
      </c>
      <c r="BM199">
        <v>44</v>
      </c>
      <c r="BN199">
        <v>942</v>
      </c>
      <c r="BO199">
        <v>216</v>
      </c>
      <c r="BP199">
        <v>88</v>
      </c>
      <c r="BQ199">
        <v>177</v>
      </c>
      <c r="BR199">
        <v>1573</v>
      </c>
      <c r="BS199" t="s">
        <v>21</v>
      </c>
      <c r="BT199" t="s">
        <v>675</v>
      </c>
      <c r="BU199">
        <v>0</v>
      </c>
      <c r="BV199">
        <v>0</v>
      </c>
      <c r="BW199">
        <v>0</v>
      </c>
      <c r="BX199">
        <v>0</v>
      </c>
      <c r="BY199">
        <v>52.8</v>
      </c>
      <c r="BZ199">
        <v>52.9</v>
      </c>
      <c r="CA199">
        <v>0</v>
      </c>
      <c r="CB199">
        <v>0</v>
      </c>
      <c r="CC199">
        <v>0</v>
      </c>
      <c r="CD199">
        <f t="shared" si="86"/>
        <v>1.890359168241984E-3</v>
      </c>
      <c r="CE199">
        <v>0</v>
      </c>
    </row>
    <row r="200" spans="1:83" x14ac:dyDescent="0.4">
      <c r="A200" t="s">
        <v>1147</v>
      </c>
      <c r="B200" t="s">
        <v>34</v>
      </c>
      <c r="C200" t="s">
        <v>34</v>
      </c>
      <c r="D200" t="s">
        <v>34</v>
      </c>
      <c r="E200" t="s">
        <v>49</v>
      </c>
      <c r="F200" t="s">
        <v>32</v>
      </c>
      <c r="G200">
        <v>55</v>
      </c>
      <c r="H200">
        <v>50</v>
      </c>
      <c r="I200">
        <v>27</v>
      </c>
      <c r="J200">
        <f t="shared" si="70"/>
        <v>28</v>
      </c>
      <c r="K200">
        <f t="shared" si="71"/>
        <v>23</v>
      </c>
      <c r="L200">
        <v>5</v>
      </c>
      <c r="M200">
        <v>27.09</v>
      </c>
      <c r="N200" t="s">
        <v>678</v>
      </c>
      <c r="O200" t="s">
        <v>679</v>
      </c>
      <c r="P200" t="s">
        <v>13</v>
      </c>
      <c r="Q200">
        <v>0.1</v>
      </c>
      <c r="R200" t="s">
        <v>26</v>
      </c>
      <c r="S200" t="s">
        <v>15</v>
      </c>
      <c r="T200" t="s">
        <v>14</v>
      </c>
      <c r="U200">
        <v>17.5</v>
      </c>
      <c r="V200" t="s">
        <v>17</v>
      </c>
      <c r="W200">
        <v>0</v>
      </c>
      <c r="X200" t="s">
        <v>14</v>
      </c>
      <c r="Y200" t="s">
        <v>14</v>
      </c>
      <c r="Z200">
        <v>5</v>
      </c>
      <c r="AA200">
        <f t="shared" si="66"/>
        <v>553.2346063912704</v>
      </c>
      <c r="AB200">
        <f t="shared" si="67"/>
        <v>3.8971161340607949</v>
      </c>
      <c r="AC200">
        <f t="shared" si="68"/>
        <v>3.8971161340607949</v>
      </c>
      <c r="AD200" t="s">
        <v>36</v>
      </c>
      <c r="AE200" t="s">
        <v>15</v>
      </c>
      <c r="AF200" t="s">
        <v>18</v>
      </c>
      <c r="AG200" t="s">
        <v>14</v>
      </c>
      <c r="AH200" t="s">
        <v>14</v>
      </c>
      <c r="AI200" t="s">
        <v>14</v>
      </c>
      <c r="AJ200" t="s">
        <v>14</v>
      </c>
      <c r="AK200" t="s">
        <v>14</v>
      </c>
      <c r="AL200" t="s">
        <v>14</v>
      </c>
      <c r="AM200">
        <f t="shared" si="69"/>
        <v>100</v>
      </c>
      <c r="AN200">
        <f t="shared" si="72"/>
        <v>4606</v>
      </c>
      <c r="AO200">
        <f t="shared" si="73"/>
        <v>3845</v>
      </c>
      <c r="AP200">
        <f t="shared" si="74"/>
        <v>713</v>
      </c>
      <c r="AQ200">
        <f t="shared" si="75"/>
        <v>11</v>
      </c>
      <c r="AR200">
        <f t="shared" si="76"/>
        <v>48</v>
      </c>
      <c r="AS200">
        <f t="shared" si="77"/>
        <v>59.508963367108336</v>
      </c>
      <c r="AT200">
        <f t="shared" si="78"/>
        <v>0</v>
      </c>
      <c r="AU200">
        <f t="shared" si="79"/>
        <v>6.9474598349978285</v>
      </c>
      <c r="AV200">
        <f t="shared" si="80"/>
        <v>0.23881893182805036</v>
      </c>
      <c r="AW200">
        <f t="shared" si="81"/>
        <v>15.479808944854538</v>
      </c>
      <c r="AX200">
        <f t="shared" si="82"/>
        <v>1.0421189752496742</v>
      </c>
      <c r="AY200">
        <f t="shared" si="83"/>
        <v>388.80778588807783</v>
      </c>
      <c r="AZ200">
        <f t="shared" si="84"/>
        <v>320</v>
      </c>
      <c r="BA200">
        <f t="shared" si="85"/>
        <v>0</v>
      </c>
      <c r="BB200" t="s">
        <v>33</v>
      </c>
      <c r="BC200" t="s">
        <v>33</v>
      </c>
      <c r="BD200">
        <v>25.66</v>
      </c>
      <c r="BE200">
        <v>1</v>
      </c>
      <c r="BF200">
        <v>1</v>
      </c>
      <c r="BG200">
        <v>0</v>
      </c>
      <c r="BH200">
        <v>15.27</v>
      </c>
      <c r="BI200">
        <v>14196</v>
      </c>
      <c r="BJ200">
        <v>3845</v>
      </c>
      <c r="BK200">
        <v>11</v>
      </c>
      <c r="BL200">
        <v>330</v>
      </c>
      <c r="BM200">
        <v>34</v>
      </c>
      <c r="BN200">
        <v>320</v>
      </c>
      <c r="BO200">
        <v>29</v>
      </c>
      <c r="BP200">
        <v>11</v>
      </c>
      <c r="BQ200">
        <v>26</v>
      </c>
      <c r="BR200">
        <v>9588</v>
      </c>
      <c r="BS200" t="s">
        <v>21</v>
      </c>
      <c r="BT200" t="s">
        <v>626</v>
      </c>
      <c r="BU200">
        <v>0</v>
      </c>
      <c r="BV200">
        <v>0</v>
      </c>
      <c r="BW200">
        <v>0</v>
      </c>
      <c r="BX200">
        <v>0</v>
      </c>
      <c r="BY200">
        <v>43.1</v>
      </c>
      <c r="BZ200">
        <v>43.2</v>
      </c>
      <c r="CA200">
        <v>0</v>
      </c>
      <c r="CB200">
        <v>0</v>
      </c>
      <c r="CC200">
        <v>0</v>
      </c>
      <c r="CD200">
        <f t="shared" si="86"/>
        <v>2.3148148148148806E-3</v>
      </c>
      <c r="CE200">
        <v>0</v>
      </c>
    </row>
    <row r="201" spans="1:83" x14ac:dyDescent="0.4">
      <c r="A201" t="s">
        <v>1148</v>
      </c>
      <c r="B201" t="s">
        <v>64</v>
      </c>
      <c r="C201" t="s">
        <v>82</v>
      </c>
      <c r="D201" t="s">
        <v>82</v>
      </c>
      <c r="E201" t="s">
        <v>49</v>
      </c>
      <c r="F201" t="s">
        <v>32</v>
      </c>
      <c r="G201">
        <v>50</v>
      </c>
      <c r="H201">
        <v>56</v>
      </c>
      <c r="I201">
        <v>70</v>
      </c>
      <c r="J201">
        <f t="shared" si="70"/>
        <v>-20</v>
      </c>
      <c r="K201">
        <f t="shared" si="71"/>
        <v>-14</v>
      </c>
      <c r="L201">
        <v>-6</v>
      </c>
      <c r="M201">
        <v>69.92</v>
      </c>
      <c r="N201" t="s">
        <v>681</v>
      </c>
      <c r="O201" t="s">
        <v>682</v>
      </c>
      <c r="P201" t="s">
        <v>13</v>
      </c>
      <c r="Q201">
        <v>0.1</v>
      </c>
      <c r="R201" t="s">
        <v>13</v>
      </c>
      <c r="S201" t="s">
        <v>15</v>
      </c>
      <c r="T201" t="s">
        <v>14</v>
      </c>
      <c r="U201">
        <v>0</v>
      </c>
      <c r="V201" t="s">
        <v>14</v>
      </c>
      <c r="W201">
        <v>0</v>
      </c>
      <c r="X201" t="s">
        <v>14</v>
      </c>
      <c r="Y201" t="s">
        <v>14</v>
      </c>
      <c r="Z201">
        <v>0</v>
      </c>
      <c r="AA201">
        <f t="shared" si="66"/>
        <v>4393.9198043155411</v>
      </c>
      <c r="AB201">
        <f t="shared" si="67"/>
        <v>97.676247051629247</v>
      </c>
      <c r="AC201">
        <f t="shared" si="68"/>
        <v>97.274395038001231</v>
      </c>
      <c r="AD201" t="s">
        <v>37</v>
      </c>
      <c r="AE201" t="s">
        <v>15</v>
      </c>
      <c r="AF201" t="s">
        <v>18</v>
      </c>
      <c r="AG201" t="s">
        <v>14</v>
      </c>
      <c r="AH201" t="s">
        <v>14</v>
      </c>
      <c r="AI201" t="s">
        <v>14</v>
      </c>
      <c r="AJ201" t="s">
        <v>14</v>
      </c>
      <c r="AK201" t="s">
        <v>14</v>
      </c>
      <c r="AL201" t="s">
        <v>14</v>
      </c>
      <c r="AM201">
        <f t="shared" si="69"/>
        <v>99.588587782845892</v>
      </c>
      <c r="AN201">
        <f t="shared" si="72"/>
        <v>4401.3952240407834</v>
      </c>
      <c r="AO201">
        <f t="shared" si="73"/>
        <v>3145.2016814238441</v>
      </c>
      <c r="AP201">
        <f t="shared" si="74"/>
        <v>626.97433145514708</v>
      </c>
      <c r="AQ201">
        <f t="shared" si="75"/>
        <v>0.84965566586172969</v>
      </c>
      <c r="AR201">
        <f t="shared" si="76"/>
        <v>629.21921116179226</v>
      </c>
      <c r="AS201">
        <f t="shared" si="77"/>
        <v>0.38438018694854548</v>
      </c>
      <c r="AT201">
        <f t="shared" si="78"/>
        <v>0.40185201362802481</v>
      </c>
      <c r="AU201">
        <f t="shared" si="79"/>
        <v>4.9166869869137608</v>
      </c>
      <c r="AV201">
        <f t="shared" si="80"/>
        <v>1.9304234739494431E-2</v>
      </c>
      <c r="AW201">
        <f t="shared" si="81"/>
        <v>14.244899617979355</v>
      </c>
      <c r="AX201">
        <f t="shared" si="82"/>
        <v>14.295903438185809</v>
      </c>
      <c r="AY201">
        <f t="shared" si="83"/>
        <v>4043.6090225563962</v>
      </c>
      <c r="AZ201">
        <f t="shared" si="84"/>
        <v>216.40282622305696</v>
      </c>
      <c r="BA201">
        <f t="shared" si="85"/>
        <v>0.4114122171541007</v>
      </c>
      <c r="BB201" t="s">
        <v>33</v>
      </c>
      <c r="BC201" t="s">
        <v>33</v>
      </c>
      <c r="BD201">
        <v>114.47</v>
      </c>
      <c r="BE201">
        <v>111.81</v>
      </c>
      <c r="BF201">
        <v>111.35</v>
      </c>
      <c r="BG201">
        <v>0.46</v>
      </c>
      <c r="BH201">
        <v>0.44</v>
      </c>
      <c r="BI201">
        <v>502972</v>
      </c>
      <c r="BJ201">
        <v>351665</v>
      </c>
      <c r="BK201">
        <v>95</v>
      </c>
      <c r="BL201">
        <v>39361</v>
      </c>
      <c r="BM201">
        <v>1411</v>
      </c>
      <c r="BN201">
        <v>24196</v>
      </c>
      <c r="BO201">
        <v>5134</v>
      </c>
      <c r="BP201">
        <v>168</v>
      </c>
      <c r="BQ201">
        <v>70090</v>
      </c>
      <c r="BR201">
        <v>10756</v>
      </c>
      <c r="BS201" t="s">
        <v>21</v>
      </c>
      <c r="BT201" t="s">
        <v>680</v>
      </c>
      <c r="BU201">
        <v>0</v>
      </c>
      <c r="BV201">
        <v>0.1</v>
      </c>
      <c r="BW201">
        <v>0</v>
      </c>
      <c r="BX201">
        <v>0</v>
      </c>
      <c r="BY201">
        <v>116.3</v>
      </c>
      <c r="BZ201">
        <v>116.5</v>
      </c>
      <c r="CA201">
        <v>0</v>
      </c>
      <c r="CB201">
        <v>0</v>
      </c>
      <c r="CC201">
        <v>0</v>
      </c>
      <c r="CD201">
        <f t="shared" si="86"/>
        <v>1.7167381974249052E-3</v>
      </c>
      <c r="CE201">
        <v>0</v>
      </c>
    </row>
    <row r="202" spans="1:83" x14ac:dyDescent="0.4">
      <c r="A202" t="s">
        <v>1149</v>
      </c>
      <c r="B202" t="s">
        <v>66</v>
      </c>
      <c r="C202" t="s">
        <v>82</v>
      </c>
      <c r="D202" t="s">
        <v>82</v>
      </c>
      <c r="E202" t="s">
        <v>49</v>
      </c>
      <c r="F202" t="s">
        <v>32</v>
      </c>
      <c r="G202">
        <v>70</v>
      </c>
      <c r="H202">
        <v>90</v>
      </c>
      <c r="I202">
        <v>67.5</v>
      </c>
      <c r="J202">
        <f t="shared" si="70"/>
        <v>2.5</v>
      </c>
      <c r="K202">
        <f t="shared" si="71"/>
        <v>22.5</v>
      </c>
      <c r="L202">
        <v>-20</v>
      </c>
      <c r="M202">
        <v>67.53</v>
      </c>
      <c r="N202" t="s">
        <v>684</v>
      </c>
      <c r="O202" t="s">
        <v>685</v>
      </c>
      <c r="P202" t="s">
        <v>13</v>
      </c>
      <c r="Q202">
        <v>0.1</v>
      </c>
      <c r="R202" t="s">
        <v>26</v>
      </c>
      <c r="S202" t="s">
        <v>27</v>
      </c>
      <c r="T202" t="s">
        <v>17</v>
      </c>
      <c r="U202">
        <v>30</v>
      </c>
      <c r="V202" t="s">
        <v>17</v>
      </c>
      <c r="W202">
        <v>0</v>
      </c>
      <c r="X202" t="s">
        <v>14</v>
      </c>
      <c r="Y202" t="s">
        <v>14</v>
      </c>
      <c r="Z202">
        <v>5</v>
      </c>
      <c r="AA202">
        <f t="shared" si="66"/>
        <v>4455.7120980091886</v>
      </c>
      <c r="AB202">
        <f t="shared" si="67"/>
        <v>37.641653905053602</v>
      </c>
      <c r="AC202">
        <f t="shared" si="68"/>
        <v>37.090352220520678</v>
      </c>
      <c r="AD202" t="s">
        <v>36</v>
      </c>
      <c r="AE202" t="s">
        <v>15</v>
      </c>
      <c r="AF202" t="s">
        <v>18</v>
      </c>
      <c r="AG202" t="s">
        <v>14</v>
      </c>
      <c r="AH202" t="s">
        <v>14</v>
      </c>
      <c r="AI202" t="s">
        <v>14</v>
      </c>
      <c r="AJ202" t="s">
        <v>14</v>
      </c>
      <c r="AK202" t="s">
        <v>14</v>
      </c>
      <c r="AL202" t="s">
        <v>14</v>
      </c>
      <c r="AM202">
        <f t="shared" si="69"/>
        <v>98.535394629780313</v>
      </c>
      <c r="AN202">
        <f t="shared" si="72"/>
        <v>9822.45728234337</v>
      </c>
      <c r="AO202">
        <f t="shared" si="73"/>
        <v>7993.4906427990245</v>
      </c>
      <c r="AP202">
        <f t="shared" si="74"/>
        <v>1717.412530512612</v>
      </c>
      <c r="AQ202">
        <f t="shared" si="75"/>
        <v>11.310008136696503</v>
      </c>
      <c r="AR202">
        <f t="shared" si="76"/>
        <v>111.55410903173312</v>
      </c>
      <c r="AS202">
        <f t="shared" si="77"/>
        <v>37.488514548238896</v>
      </c>
      <c r="AT202">
        <f t="shared" si="78"/>
        <v>0.55130168453292494</v>
      </c>
      <c r="AU202">
        <f t="shared" si="79"/>
        <v>16.444937788896436</v>
      </c>
      <c r="AV202">
        <f t="shared" si="80"/>
        <v>0.11514438608989545</v>
      </c>
      <c r="AW202">
        <f t="shared" si="81"/>
        <v>17.484550771218874</v>
      </c>
      <c r="AX202">
        <f t="shared" si="82"/>
        <v>1.1357047002104077</v>
      </c>
      <c r="AY202">
        <f t="shared" si="83"/>
        <v>1215.1768172888017</v>
      </c>
      <c r="AZ202">
        <f t="shared" si="84"/>
        <v>1615.2969894222947</v>
      </c>
      <c r="BA202">
        <f t="shared" si="85"/>
        <v>1.4646053702196908</v>
      </c>
      <c r="BB202" t="s">
        <v>33</v>
      </c>
      <c r="BC202" t="s">
        <v>33</v>
      </c>
      <c r="BD202">
        <v>32.65</v>
      </c>
      <c r="BE202">
        <v>12.29</v>
      </c>
      <c r="BF202">
        <v>12.11</v>
      </c>
      <c r="BG202">
        <v>0.18</v>
      </c>
      <c r="BH202">
        <v>12.24</v>
      </c>
      <c r="BI202">
        <v>145479</v>
      </c>
      <c r="BJ202">
        <v>98240</v>
      </c>
      <c r="BK202">
        <v>139</v>
      </c>
      <c r="BL202">
        <v>574</v>
      </c>
      <c r="BM202">
        <v>512</v>
      </c>
      <c r="BN202">
        <v>19852</v>
      </c>
      <c r="BO202">
        <v>169</v>
      </c>
      <c r="BP202">
        <v>304</v>
      </c>
      <c r="BQ202">
        <v>928</v>
      </c>
      <c r="BR202">
        <v>24741</v>
      </c>
      <c r="BS202" t="s">
        <v>21</v>
      </c>
      <c r="BT202" t="s">
        <v>683</v>
      </c>
      <c r="BU202">
        <v>0</v>
      </c>
      <c r="BV202">
        <v>0.1</v>
      </c>
      <c r="BW202">
        <v>0</v>
      </c>
      <c r="BX202">
        <v>2</v>
      </c>
      <c r="BY202">
        <v>34.4</v>
      </c>
      <c r="BZ202">
        <v>35.200000000000003</v>
      </c>
      <c r="CA202">
        <v>0</v>
      </c>
      <c r="CB202">
        <v>0</v>
      </c>
      <c r="CC202">
        <v>0</v>
      </c>
      <c r="CD202">
        <f t="shared" si="86"/>
        <v>2.2727272727272818E-2</v>
      </c>
      <c r="CE202">
        <v>0</v>
      </c>
    </row>
    <row r="203" spans="1:83" x14ac:dyDescent="0.4">
      <c r="A203" t="s">
        <v>1150</v>
      </c>
      <c r="B203" t="s">
        <v>64</v>
      </c>
      <c r="C203" t="s">
        <v>82</v>
      </c>
      <c r="D203" t="s">
        <v>82</v>
      </c>
      <c r="E203" t="s">
        <v>49</v>
      </c>
      <c r="F203" t="s">
        <v>32</v>
      </c>
      <c r="G203">
        <v>60</v>
      </c>
      <c r="H203">
        <v>80</v>
      </c>
      <c r="I203">
        <v>58.5</v>
      </c>
      <c r="J203">
        <f t="shared" si="70"/>
        <v>1.5</v>
      </c>
      <c r="K203">
        <f t="shared" si="71"/>
        <v>21.5</v>
      </c>
      <c r="L203">
        <v>-20</v>
      </c>
      <c r="M203">
        <v>58.43</v>
      </c>
      <c r="N203" t="s">
        <v>687</v>
      </c>
      <c r="O203" t="s">
        <v>688</v>
      </c>
      <c r="P203" t="s">
        <v>13</v>
      </c>
      <c r="Q203">
        <v>0</v>
      </c>
      <c r="R203" t="s">
        <v>13</v>
      </c>
      <c r="S203" t="s">
        <v>15</v>
      </c>
      <c r="T203" t="s">
        <v>14</v>
      </c>
      <c r="U203">
        <v>0</v>
      </c>
      <c r="V203" t="s">
        <v>14</v>
      </c>
      <c r="W203">
        <v>0</v>
      </c>
      <c r="X203" t="s">
        <v>14</v>
      </c>
      <c r="Y203" t="s">
        <v>14</v>
      </c>
      <c r="Z203">
        <v>0</v>
      </c>
      <c r="AA203">
        <f t="shared" si="66"/>
        <v>5084.6795827123697</v>
      </c>
      <c r="AB203">
        <f t="shared" si="67"/>
        <v>94.977645305514173</v>
      </c>
      <c r="AC203">
        <f t="shared" si="68"/>
        <v>94.530551415797319</v>
      </c>
      <c r="AD203" t="s">
        <v>37</v>
      </c>
      <c r="AE203" t="s">
        <v>15</v>
      </c>
      <c r="AF203" t="s">
        <v>18</v>
      </c>
      <c r="AG203" t="s">
        <v>14</v>
      </c>
      <c r="AH203" t="s">
        <v>14</v>
      </c>
      <c r="AI203" t="s">
        <v>14</v>
      </c>
      <c r="AJ203" t="s">
        <v>14</v>
      </c>
      <c r="AK203" t="s">
        <v>14</v>
      </c>
      <c r="AL203" t="s">
        <v>14</v>
      </c>
      <c r="AM203">
        <f t="shared" si="69"/>
        <v>99.529264082849522</v>
      </c>
      <c r="AN203">
        <f t="shared" si="72"/>
        <v>5071.5675506041116</v>
      </c>
      <c r="AO203">
        <f t="shared" si="73"/>
        <v>3128.071551859407</v>
      </c>
      <c r="AP203">
        <f t="shared" si="74"/>
        <v>542.03671740153777</v>
      </c>
      <c r="AQ203">
        <f t="shared" si="75"/>
        <v>0.48642711438882791</v>
      </c>
      <c r="AR203">
        <f t="shared" si="76"/>
        <v>1401.4592813431666</v>
      </c>
      <c r="AS203">
        <f t="shared" si="77"/>
        <v>0.17883755588673622</v>
      </c>
      <c r="AT203">
        <f t="shared" si="78"/>
        <v>0.44709388971684055</v>
      </c>
      <c r="AU203">
        <f t="shared" si="79"/>
        <v>3.5775391307845341</v>
      </c>
      <c r="AV203">
        <f t="shared" si="80"/>
        <v>9.5912577232829324E-3</v>
      </c>
      <c r="AW203">
        <f t="shared" si="81"/>
        <v>10.687755057841471</v>
      </c>
      <c r="AX203">
        <f t="shared" si="82"/>
        <v>27.633651082419842</v>
      </c>
      <c r="AY203">
        <f t="shared" si="83"/>
        <v>5330.2670623145441</v>
      </c>
      <c r="AZ203">
        <f t="shared" si="84"/>
        <v>181.43731366703281</v>
      </c>
      <c r="BA203">
        <f t="shared" si="85"/>
        <v>0.47073591715047858</v>
      </c>
      <c r="BB203" t="s">
        <v>33</v>
      </c>
      <c r="BC203" t="s">
        <v>33</v>
      </c>
      <c r="BD203">
        <v>67.099999999999994</v>
      </c>
      <c r="BE203">
        <v>63.73</v>
      </c>
      <c r="BF203">
        <v>63.43</v>
      </c>
      <c r="BG203">
        <v>0.3</v>
      </c>
      <c r="BH203">
        <v>0.12</v>
      </c>
      <c r="BI203">
        <v>341182</v>
      </c>
      <c r="BJ203">
        <v>199352</v>
      </c>
      <c r="BK203">
        <v>31</v>
      </c>
      <c r="BL203">
        <v>20180</v>
      </c>
      <c r="BM203">
        <v>2082</v>
      </c>
      <c r="BN203">
        <v>11563</v>
      </c>
      <c r="BO203">
        <v>719</v>
      </c>
      <c r="BP203">
        <v>212</v>
      </c>
      <c r="BQ203">
        <v>89072</v>
      </c>
      <c r="BR203">
        <v>17963</v>
      </c>
      <c r="BS203" t="s">
        <v>21</v>
      </c>
      <c r="BT203" t="s">
        <v>686</v>
      </c>
      <c r="BU203">
        <v>0</v>
      </c>
      <c r="BV203">
        <v>0</v>
      </c>
      <c r="BW203">
        <v>0</v>
      </c>
      <c r="BX203">
        <v>0</v>
      </c>
      <c r="BY203">
        <v>72</v>
      </c>
      <c r="BZ203">
        <v>72</v>
      </c>
      <c r="CA203">
        <v>0</v>
      </c>
      <c r="CB203">
        <v>0</v>
      </c>
      <c r="CC203">
        <v>0</v>
      </c>
      <c r="CD203">
        <f t="shared" si="86"/>
        <v>0</v>
      </c>
      <c r="CE203">
        <v>0</v>
      </c>
    </row>
    <row r="204" spans="1:83" x14ac:dyDescent="0.4">
      <c r="A204" t="s">
        <v>1151</v>
      </c>
      <c r="B204" t="s">
        <v>49</v>
      </c>
      <c r="C204" t="s">
        <v>73</v>
      </c>
      <c r="D204" t="s">
        <v>82</v>
      </c>
      <c r="E204" t="s">
        <v>49</v>
      </c>
      <c r="F204" t="s">
        <v>22</v>
      </c>
      <c r="G204">
        <v>30</v>
      </c>
      <c r="H204">
        <v>59</v>
      </c>
      <c r="I204">
        <v>42</v>
      </c>
      <c r="J204">
        <f t="shared" si="70"/>
        <v>-12</v>
      </c>
      <c r="K204">
        <f t="shared" si="71"/>
        <v>17</v>
      </c>
      <c r="L204">
        <v>-29</v>
      </c>
      <c r="M204">
        <v>41.9</v>
      </c>
      <c r="N204" t="s">
        <v>689</v>
      </c>
      <c r="O204" t="s">
        <v>690</v>
      </c>
      <c r="P204" t="s">
        <v>13</v>
      </c>
      <c r="Q204">
        <v>0.1</v>
      </c>
      <c r="R204" t="s">
        <v>13</v>
      </c>
      <c r="S204" t="s">
        <v>15</v>
      </c>
      <c r="T204" t="s">
        <v>14</v>
      </c>
      <c r="U204">
        <v>2.5</v>
      </c>
      <c r="V204" t="s">
        <v>14</v>
      </c>
      <c r="W204" t="s">
        <v>52</v>
      </c>
      <c r="X204" t="s">
        <v>14</v>
      </c>
      <c r="Y204" t="s">
        <v>17</v>
      </c>
      <c r="Z204">
        <v>0</v>
      </c>
      <c r="AA204">
        <f t="shared" si="66"/>
        <v>4245.3879941434843</v>
      </c>
      <c r="AB204">
        <f t="shared" si="67"/>
        <v>79.35578330893118</v>
      </c>
      <c r="AC204">
        <f t="shared" si="68"/>
        <v>34.919472913616396</v>
      </c>
      <c r="AD204" t="s">
        <v>15</v>
      </c>
      <c r="AE204" t="s">
        <v>15</v>
      </c>
      <c r="AF204" t="s">
        <v>18</v>
      </c>
      <c r="AG204" t="s">
        <v>14</v>
      </c>
      <c r="AH204" t="s">
        <v>14</v>
      </c>
      <c r="AI204" t="s">
        <v>18</v>
      </c>
      <c r="AJ204" t="s">
        <v>14</v>
      </c>
      <c r="AK204" t="s">
        <v>14</v>
      </c>
      <c r="AL204" t="s">
        <v>14</v>
      </c>
      <c r="AM204">
        <f t="shared" si="69"/>
        <v>44.003690036900366</v>
      </c>
      <c r="AN204">
        <f t="shared" si="72"/>
        <v>4649.6309963099629</v>
      </c>
      <c r="AO204">
        <f t="shared" si="73"/>
        <v>2241.5129151291512</v>
      </c>
      <c r="AP204">
        <f t="shared" si="74"/>
        <v>683.76383763837634</v>
      </c>
      <c r="AQ204">
        <f t="shared" si="75"/>
        <v>1222.3247232472324</v>
      </c>
      <c r="AR204">
        <f t="shared" si="76"/>
        <v>1724.3542435424354</v>
      </c>
      <c r="AS204">
        <f t="shared" si="77"/>
        <v>4.1727672035139083</v>
      </c>
      <c r="AT204">
        <f t="shared" si="78"/>
        <v>44.436310395314784</v>
      </c>
      <c r="AU204">
        <f t="shared" si="79"/>
        <v>9.2635212888377438</v>
      </c>
      <c r="AV204">
        <f t="shared" si="80"/>
        <v>26.288639339708741</v>
      </c>
      <c r="AW204">
        <f t="shared" si="81"/>
        <v>14.705765644220467</v>
      </c>
      <c r="AX204">
        <f t="shared" si="82"/>
        <v>37.085829927383834</v>
      </c>
      <c r="AY204">
        <f t="shared" si="83"/>
        <v>2646.8085106382978</v>
      </c>
      <c r="AZ204">
        <f t="shared" si="84"/>
        <v>430.71955719557195</v>
      </c>
      <c r="BA204">
        <f t="shared" si="85"/>
        <v>55.996309963099634</v>
      </c>
      <c r="BB204" t="s">
        <v>52</v>
      </c>
      <c r="BC204" t="s">
        <v>52</v>
      </c>
      <c r="BD204">
        <v>13.66</v>
      </c>
      <c r="BE204">
        <v>10.84</v>
      </c>
      <c r="BF204">
        <v>4.7699999999999996</v>
      </c>
      <c r="BG204">
        <v>6.07</v>
      </c>
      <c r="BH204">
        <v>0.56999999999999995</v>
      </c>
      <c r="BI204">
        <v>57992</v>
      </c>
      <c r="BJ204">
        <v>24298</v>
      </c>
      <c r="BK204">
        <v>13250</v>
      </c>
      <c r="BL204">
        <v>673</v>
      </c>
      <c r="BM204">
        <v>988</v>
      </c>
      <c r="BN204">
        <v>4669</v>
      </c>
      <c r="BO204">
        <v>1082</v>
      </c>
      <c r="BP204">
        <v>1572</v>
      </c>
      <c r="BQ204">
        <v>3870</v>
      </c>
      <c r="BR204">
        <v>7464</v>
      </c>
      <c r="BS204" t="s">
        <v>21</v>
      </c>
      <c r="BT204" t="s">
        <v>664</v>
      </c>
      <c r="BU204">
        <v>0</v>
      </c>
      <c r="BV204">
        <v>0</v>
      </c>
      <c r="BW204">
        <v>0</v>
      </c>
      <c r="BX204">
        <v>0.9</v>
      </c>
      <c r="BY204">
        <v>15.6</v>
      </c>
      <c r="BZ204">
        <v>15.7</v>
      </c>
      <c r="CA204">
        <v>10</v>
      </c>
      <c r="CB204">
        <v>10</v>
      </c>
      <c r="CC204">
        <v>0</v>
      </c>
      <c r="CD204">
        <f t="shared" si="86"/>
        <v>6.3694267515923553E-3</v>
      </c>
      <c r="CE204">
        <v>1</v>
      </c>
    </row>
    <row r="205" spans="1:83" x14ac:dyDescent="0.4">
      <c r="A205" t="s">
        <v>1152</v>
      </c>
      <c r="B205" t="s">
        <v>49</v>
      </c>
      <c r="C205" t="s">
        <v>73</v>
      </c>
      <c r="D205" t="s">
        <v>82</v>
      </c>
      <c r="E205" t="s">
        <v>49</v>
      </c>
      <c r="F205" t="s">
        <v>32</v>
      </c>
      <c r="G205">
        <v>50</v>
      </c>
      <c r="H205">
        <v>34</v>
      </c>
      <c r="I205">
        <v>58</v>
      </c>
      <c r="J205">
        <f t="shared" si="70"/>
        <v>-8</v>
      </c>
      <c r="K205">
        <f t="shared" si="71"/>
        <v>-24</v>
      </c>
      <c r="L205">
        <v>16</v>
      </c>
      <c r="M205">
        <v>57.76</v>
      </c>
      <c r="N205" t="s">
        <v>691</v>
      </c>
      <c r="O205" t="s">
        <v>692</v>
      </c>
      <c r="P205" t="s">
        <v>13</v>
      </c>
      <c r="Q205">
        <v>0</v>
      </c>
      <c r="R205" t="s">
        <v>13</v>
      </c>
      <c r="S205" t="s">
        <v>15</v>
      </c>
      <c r="T205" t="s">
        <v>14</v>
      </c>
      <c r="U205">
        <v>0</v>
      </c>
      <c r="V205" t="s">
        <v>14</v>
      </c>
      <c r="W205">
        <v>0</v>
      </c>
      <c r="X205" t="s">
        <v>14</v>
      </c>
      <c r="Y205" t="s">
        <v>14</v>
      </c>
      <c r="Z205">
        <v>0</v>
      </c>
      <c r="AA205">
        <f t="shared" si="66"/>
        <v>302.58899676375404</v>
      </c>
      <c r="AB205">
        <f t="shared" si="67"/>
        <v>7.7964107090320676</v>
      </c>
      <c r="AC205">
        <f t="shared" si="68"/>
        <v>6.2371285672256542</v>
      </c>
      <c r="AD205" t="s">
        <v>36</v>
      </c>
      <c r="AE205" t="s">
        <v>15</v>
      </c>
      <c r="AF205" t="s">
        <v>18</v>
      </c>
      <c r="AG205" t="s">
        <v>14</v>
      </c>
      <c r="AH205" t="s">
        <v>14</v>
      </c>
      <c r="AI205" t="s">
        <v>14</v>
      </c>
      <c r="AJ205" t="s">
        <v>14</v>
      </c>
      <c r="AK205" t="s">
        <v>14</v>
      </c>
      <c r="AL205" t="s">
        <v>14</v>
      </c>
      <c r="AM205">
        <f t="shared" si="69"/>
        <v>80</v>
      </c>
      <c r="AN205">
        <f t="shared" si="72"/>
        <v>2822.6415094339623</v>
      </c>
      <c r="AO205">
        <f t="shared" si="73"/>
        <v>2241.8867924528304</v>
      </c>
      <c r="AP205">
        <f t="shared" si="74"/>
        <v>489.81132075471697</v>
      </c>
      <c r="AQ205">
        <f t="shared" si="75"/>
        <v>49.811320754716981</v>
      </c>
      <c r="AR205">
        <f t="shared" si="76"/>
        <v>90.943396226415103</v>
      </c>
      <c r="AS205">
        <f t="shared" si="77"/>
        <v>72.874374816122383</v>
      </c>
      <c r="AT205">
        <f t="shared" si="78"/>
        <v>1.5592821418064136</v>
      </c>
      <c r="AU205">
        <f t="shared" si="79"/>
        <v>11.256684491978609</v>
      </c>
      <c r="AV205">
        <f t="shared" si="80"/>
        <v>1.7647058823529411</v>
      </c>
      <c r="AW205">
        <f t="shared" si="81"/>
        <v>17.352941176470587</v>
      </c>
      <c r="AX205">
        <f t="shared" si="82"/>
        <v>3.2219251336898398</v>
      </c>
      <c r="AY205">
        <f t="shared" si="83"/>
        <v>89.406509253350336</v>
      </c>
      <c r="AZ205">
        <f t="shared" si="84"/>
        <v>317.7358490566038</v>
      </c>
      <c r="BA205">
        <f t="shared" si="85"/>
        <v>20</v>
      </c>
      <c r="BB205" t="s">
        <v>33</v>
      </c>
      <c r="BC205" t="s">
        <v>33</v>
      </c>
      <c r="BD205">
        <v>33.99</v>
      </c>
      <c r="BE205">
        <v>2.65</v>
      </c>
      <c r="BF205">
        <v>2.12</v>
      </c>
      <c r="BG205">
        <v>0.53</v>
      </c>
      <c r="BH205">
        <v>24.77</v>
      </c>
      <c r="BI205">
        <v>10285</v>
      </c>
      <c r="BJ205">
        <v>5941</v>
      </c>
      <c r="BK205">
        <v>132</v>
      </c>
      <c r="BL205">
        <v>362</v>
      </c>
      <c r="BM205">
        <v>49</v>
      </c>
      <c r="BN205">
        <v>842</v>
      </c>
      <c r="BO205">
        <v>45</v>
      </c>
      <c r="BP205">
        <v>60</v>
      </c>
      <c r="BQ205">
        <v>49</v>
      </c>
      <c r="BR205">
        <v>2802</v>
      </c>
      <c r="BS205" t="s">
        <v>21</v>
      </c>
      <c r="BT205" t="s">
        <v>515</v>
      </c>
      <c r="BU205">
        <v>0</v>
      </c>
      <c r="BV205">
        <v>0</v>
      </c>
      <c r="BW205">
        <v>0</v>
      </c>
      <c r="BX205">
        <v>0</v>
      </c>
      <c r="BY205">
        <v>36.799999999999997</v>
      </c>
      <c r="BZ205">
        <v>36.799999999999997</v>
      </c>
      <c r="CA205">
        <v>0</v>
      </c>
      <c r="CB205">
        <v>0</v>
      </c>
      <c r="CC205">
        <v>0</v>
      </c>
      <c r="CD205">
        <f t="shared" si="86"/>
        <v>0</v>
      </c>
      <c r="CE205">
        <v>0</v>
      </c>
    </row>
    <row r="206" spans="1:83" x14ac:dyDescent="0.4">
      <c r="A206" t="s">
        <v>1153</v>
      </c>
      <c r="B206" t="s">
        <v>49</v>
      </c>
      <c r="C206" t="s">
        <v>73</v>
      </c>
      <c r="D206" t="s">
        <v>82</v>
      </c>
      <c r="E206" t="s">
        <v>49</v>
      </c>
      <c r="F206" t="s">
        <v>32</v>
      </c>
      <c r="G206">
        <v>50</v>
      </c>
      <c r="H206">
        <v>40</v>
      </c>
      <c r="I206">
        <v>15.5</v>
      </c>
      <c r="J206">
        <f t="shared" si="70"/>
        <v>34.5</v>
      </c>
      <c r="K206">
        <f t="shared" si="71"/>
        <v>24.5</v>
      </c>
      <c r="L206">
        <v>10</v>
      </c>
      <c r="M206">
        <v>15.66</v>
      </c>
      <c r="N206" t="s">
        <v>693</v>
      </c>
      <c r="O206" t="s">
        <v>694</v>
      </c>
      <c r="P206" t="s">
        <v>13</v>
      </c>
      <c r="Q206">
        <v>0.5</v>
      </c>
      <c r="R206" t="s">
        <v>13</v>
      </c>
      <c r="S206" t="s">
        <v>27</v>
      </c>
      <c r="T206" t="s">
        <v>14</v>
      </c>
      <c r="U206">
        <v>2.5</v>
      </c>
      <c r="V206" t="s">
        <v>14</v>
      </c>
      <c r="W206">
        <v>0</v>
      </c>
      <c r="X206" t="s">
        <v>14</v>
      </c>
      <c r="Y206" t="s">
        <v>14</v>
      </c>
      <c r="Z206">
        <v>0</v>
      </c>
      <c r="AA206">
        <f t="shared" si="66"/>
        <v>1450.1058201058202</v>
      </c>
      <c r="AB206">
        <f t="shared" si="67"/>
        <v>5.9788359788359786</v>
      </c>
      <c r="AC206">
        <f t="shared" si="68"/>
        <v>5.7142857142857144</v>
      </c>
      <c r="AD206" t="s">
        <v>36</v>
      </c>
      <c r="AE206" t="s">
        <v>15</v>
      </c>
      <c r="AF206" t="s">
        <v>18</v>
      </c>
      <c r="AG206" t="s">
        <v>14</v>
      </c>
      <c r="AH206" t="s">
        <v>14</v>
      </c>
      <c r="AI206" t="s">
        <v>14</v>
      </c>
      <c r="AJ206" t="s">
        <v>14</v>
      </c>
      <c r="AK206" t="s">
        <v>14</v>
      </c>
      <c r="AL206" t="s">
        <v>14</v>
      </c>
      <c r="AM206">
        <f t="shared" si="69"/>
        <v>95.575221238938056</v>
      </c>
      <c r="AN206">
        <f t="shared" si="72"/>
        <v>5701.7699115044252</v>
      </c>
      <c r="AO206">
        <f t="shared" si="73"/>
        <v>3797.3451327433631</v>
      </c>
      <c r="AP206">
        <f t="shared" si="74"/>
        <v>1544.2477876106195</v>
      </c>
      <c r="AQ206">
        <f t="shared" si="75"/>
        <v>101.76991150442478</v>
      </c>
      <c r="AR206">
        <f t="shared" si="76"/>
        <v>360.17699115044252</v>
      </c>
      <c r="AS206">
        <f t="shared" si="77"/>
        <v>26.613756613756617</v>
      </c>
      <c r="AT206">
        <f t="shared" si="78"/>
        <v>0.26455026455026459</v>
      </c>
      <c r="AU206">
        <f t="shared" si="79"/>
        <v>12.245848207356822</v>
      </c>
      <c r="AV206">
        <f t="shared" si="80"/>
        <v>1.7848828185627814</v>
      </c>
      <c r="AW206">
        <f t="shared" si="81"/>
        <v>27.083656681670028</v>
      </c>
      <c r="AX206">
        <f t="shared" si="82"/>
        <v>6.316933105696104</v>
      </c>
      <c r="AY206">
        <f t="shared" si="83"/>
        <v>1179.7411367473269</v>
      </c>
      <c r="AZ206">
        <f t="shared" si="84"/>
        <v>698.23008849557527</v>
      </c>
      <c r="BA206">
        <f t="shared" si="85"/>
        <v>4.4247787610619476</v>
      </c>
      <c r="BB206" t="s">
        <v>33</v>
      </c>
      <c r="BC206" t="s">
        <v>33</v>
      </c>
      <c r="BD206">
        <v>18.899999999999999</v>
      </c>
      <c r="BE206">
        <v>1.1299999999999999</v>
      </c>
      <c r="BF206">
        <v>1.08</v>
      </c>
      <c r="BG206">
        <v>0.05</v>
      </c>
      <c r="BH206">
        <v>5.03</v>
      </c>
      <c r="BI206">
        <v>27407</v>
      </c>
      <c r="BJ206">
        <v>4291</v>
      </c>
      <c r="BK206">
        <v>115</v>
      </c>
      <c r="BL206">
        <v>718</v>
      </c>
      <c r="BM206">
        <v>80</v>
      </c>
      <c r="BN206">
        <v>789</v>
      </c>
      <c r="BO206">
        <v>158</v>
      </c>
      <c r="BP206">
        <v>58</v>
      </c>
      <c r="BQ206">
        <v>234</v>
      </c>
      <c r="BR206">
        <v>20964</v>
      </c>
      <c r="BS206" t="s">
        <v>21</v>
      </c>
      <c r="BT206" t="s">
        <v>406</v>
      </c>
      <c r="BU206">
        <v>0</v>
      </c>
      <c r="BV206">
        <v>2</v>
      </c>
      <c r="BW206">
        <v>0</v>
      </c>
      <c r="BX206">
        <v>0.1</v>
      </c>
      <c r="BY206">
        <v>23.3</v>
      </c>
      <c r="BZ206">
        <v>24</v>
      </c>
      <c r="CA206">
        <v>0</v>
      </c>
      <c r="CB206">
        <v>0</v>
      </c>
      <c r="CC206">
        <v>0</v>
      </c>
      <c r="CD206">
        <f t="shared" si="86"/>
        <v>2.9166666666666674E-2</v>
      </c>
      <c r="CE206">
        <v>0</v>
      </c>
    </row>
    <row r="207" spans="1:83" x14ac:dyDescent="0.4">
      <c r="A207" t="s">
        <v>1154</v>
      </c>
      <c r="B207" t="s">
        <v>64</v>
      </c>
      <c r="C207" t="s">
        <v>82</v>
      </c>
      <c r="D207" t="s">
        <v>82</v>
      </c>
      <c r="E207" t="s">
        <v>49</v>
      </c>
      <c r="F207" t="s">
        <v>32</v>
      </c>
      <c r="G207">
        <v>30</v>
      </c>
      <c r="H207">
        <v>92</v>
      </c>
      <c r="I207">
        <v>12.5</v>
      </c>
      <c r="J207">
        <f t="shared" si="70"/>
        <v>17.5</v>
      </c>
      <c r="K207">
        <f t="shared" si="71"/>
        <v>79.5</v>
      </c>
      <c r="L207">
        <v>-62</v>
      </c>
      <c r="M207">
        <v>12.55</v>
      </c>
      <c r="N207" t="s">
        <v>696</v>
      </c>
      <c r="O207" t="s">
        <v>697</v>
      </c>
      <c r="P207" t="s">
        <v>13</v>
      </c>
      <c r="Q207">
        <v>0</v>
      </c>
      <c r="R207" t="s">
        <v>13</v>
      </c>
      <c r="S207" t="s">
        <v>15</v>
      </c>
      <c r="T207" t="s">
        <v>14</v>
      </c>
      <c r="U207">
        <v>0</v>
      </c>
      <c r="V207" t="s">
        <v>14</v>
      </c>
      <c r="W207">
        <v>0</v>
      </c>
      <c r="X207" t="s">
        <v>14</v>
      </c>
      <c r="Y207" t="s">
        <v>14</v>
      </c>
      <c r="Z207">
        <v>0</v>
      </c>
      <c r="AA207">
        <f t="shared" si="66"/>
        <v>5089.5962957603824</v>
      </c>
      <c r="AB207">
        <f t="shared" si="67"/>
        <v>55.375488351902774</v>
      </c>
      <c r="AC207">
        <f t="shared" si="68"/>
        <v>51.656779047894666</v>
      </c>
      <c r="AD207" t="s">
        <v>36</v>
      </c>
      <c r="AE207" t="s">
        <v>15</v>
      </c>
      <c r="AF207" t="s">
        <v>18</v>
      </c>
      <c r="AG207" t="s">
        <v>14</v>
      </c>
      <c r="AH207" t="s">
        <v>14</v>
      </c>
      <c r="AI207" t="s">
        <v>14</v>
      </c>
      <c r="AJ207" t="s">
        <v>14</v>
      </c>
      <c r="AK207" t="s">
        <v>14</v>
      </c>
      <c r="AL207" t="s">
        <v>14</v>
      </c>
      <c r="AM207">
        <f t="shared" si="69"/>
        <v>93.28455709432977</v>
      </c>
      <c r="AN207">
        <f t="shared" si="72"/>
        <v>5307.1596550823097</v>
      </c>
      <c r="AO207">
        <f t="shared" si="73"/>
        <v>1153.9064541416251</v>
      </c>
      <c r="AP207">
        <f t="shared" si="74"/>
        <v>2704.2853409981708</v>
      </c>
      <c r="AQ207">
        <f t="shared" si="75"/>
        <v>0.36582179252678337</v>
      </c>
      <c r="AR207">
        <f t="shared" si="76"/>
        <v>1448.9678599425135</v>
      </c>
      <c r="AS207">
        <f t="shared" si="77"/>
        <v>6.5981768195630144</v>
      </c>
      <c r="AT207">
        <f t="shared" si="78"/>
        <v>3.7187093040081032</v>
      </c>
      <c r="AU207">
        <f t="shared" si="79"/>
        <v>10.893872627458704</v>
      </c>
      <c r="AV207">
        <f t="shared" si="80"/>
        <v>6.8929863863518874E-3</v>
      </c>
      <c r="AW207">
        <f t="shared" si="81"/>
        <v>50.95541714876542</v>
      </c>
      <c r="AX207">
        <f t="shared" si="82"/>
        <v>27.302134363998917</v>
      </c>
      <c r="AY207">
        <f t="shared" si="83"/>
        <v>4801.815823605707</v>
      </c>
      <c r="AZ207">
        <f t="shared" si="84"/>
        <v>578.15521296054351</v>
      </c>
      <c r="BA207">
        <f t="shared" si="85"/>
        <v>6.7154429056702369</v>
      </c>
      <c r="BB207" t="s">
        <v>33</v>
      </c>
      <c r="BC207" t="s">
        <v>33</v>
      </c>
      <c r="BD207">
        <v>69.11</v>
      </c>
      <c r="BE207">
        <v>38.270000000000003</v>
      </c>
      <c r="BF207">
        <v>35.700000000000003</v>
      </c>
      <c r="BG207">
        <v>2.57</v>
      </c>
      <c r="BH207">
        <v>4.5599999999999996</v>
      </c>
      <c r="BI207">
        <v>351742</v>
      </c>
      <c r="BJ207">
        <v>44160</v>
      </c>
      <c r="BK207">
        <v>14</v>
      </c>
      <c r="BL207">
        <v>70009</v>
      </c>
      <c r="BM207">
        <v>7116</v>
      </c>
      <c r="BN207">
        <v>22126</v>
      </c>
      <c r="BO207">
        <v>4242</v>
      </c>
      <c r="BP207">
        <v>49</v>
      </c>
      <c r="BQ207">
        <v>55389</v>
      </c>
      <c r="BR207">
        <v>148088</v>
      </c>
      <c r="BS207" t="s">
        <v>21</v>
      </c>
      <c r="BT207" t="s">
        <v>695</v>
      </c>
      <c r="BU207">
        <v>0</v>
      </c>
      <c r="BV207">
        <v>0</v>
      </c>
      <c r="BW207">
        <v>0</v>
      </c>
      <c r="BX207">
        <v>0</v>
      </c>
      <c r="BY207">
        <v>70.400000000000006</v>
      </c>
      <c r="BZ207">
        <v>70.400000000000006</v>
      </c>
      <c r="CA207">
        <v>0</v>
      </c>
      <c r="CB207">
        <v>0</v>
      </c>
      <c r="CC207">
        <v>0</v>
      </c>
      <c r="CD207">
        <f t="shared" si="86"/>
        <v>0</v>
      </c>
      <c r="CE207">
        <v>0</v>
      </c>
    </row>
    <row r="208" spans="1:83" x14ac:dyDescent="0.4">
      <c r="A208" t="s">
        <v>1155</v>
      </c>
      <c r="B208" t="s">
        <v>34</v>
      </c>
      <c r="C208" t="s">
        <v>34</v>
      </c>
      <c r="D208" t="s">
        <v>34</v>
      </c>
      <c r="E208" t="s">
        <v>49</v>
      </c>
      <c r="F208" t="s">
        <v>32</v>
      </c>
      <c r="G208">
        <v>40</v>
      </c>
      <c r="H208">
        <v>21</v>
      </c>
      <c r="I208">
        <v>1.5</v>
      </c>
      <c r="J208">
        <f t="shared" si="70"/>
        <v>38.5</v>
      </c>
      <c r="K208">
        <f t="shared" si="71"/>
        <v>19.5</v>
      </c>
      <c r="L208">
        <v>19</v>
      </c>
      <c r="M208">
        <v>1.64</v>
      </c>
      <c r="N208" t="s">
        <v>698</v>
      </c>
      <c r="O208" t="s">
        <v>699</v>
      </c>
      <c r="P208" t="s">
        <v>13</v>
      </c>
      <c r="Q208">
        <v>0</v>
      </c>
      <c r="R208" t="s">
        <v>26</v>
      </c>
      <c r="S208" t="s">
        <v>27</v>
      </c>
      <c r="T208" t="s">
        <v>14</v>
      </c>
      <c r="U208">
        <v>27.5</v>
      </c>
      <c r="V208" t="s">
        <v>17</v>
      </c>
      <c r="W208">
        <v>0</v>
      </c>
      <c r="X208" t="s">
        <v>14</v>
      </c>
      <c r="Y208" t="s">
        <v>14</v>
      </c>
      <c r="Z208">
        <v>20</v>
      </c>
      <c r="AA208">
        <f t="shared" si="66"/>
        <v>2953.9959016393445</v>
      </c>
      <c r="AB208">
        <f t="shared" si="67"/>
        <v>1.3319672131147542</v>
      </c>
      <c r="AC208">
        <f t="shared" si="68"/>
        <v>1.2551229508196722</v>
      </c>
      <c r="AD208" t="s">
        <v>36</v>
      </c>
      <c r="AE208" t="s">
        <v>15</v>
      </c>
      <c r="AF208" t="s">
        <v>18</v>
      </c>
      <c r="AG208" t="s">
        <v>14</v>
      </c>
      <c r="AH208" t="s">
        <v>14</v>
      </c>
      <c r="AI208" t="s">
        <v>14</v>
      </c>
      <c r="AJ208" t="s">
        <v>14</v>
      </c>
      <c r="AK208" t="s">
        <v>14</v>
      </c>
      <c r="AL208" t="s">
        <v>14</v>
      </c>
      <c r="AM208">
        <f t="shared" si="69"/>
        <v>94.230769230769226</v>
      </c>
      <c r="AN208">
        <f t="shared" si="72"/>
        <v>6209.6153846153848</v>
      </c>
      <c r="AO208">
        <f t="shared" si="73"/>
        <v>3628.8461538461538</v>
      </c>
      <c r="AP208">
        <f t="shared" si="74"/>
        <v>2296.1538461538462</v>
      </c>
      <c r="AQ208">
        <f t="shared" si="75"/>
        <v>55.769230769230766</v>
      </c>
      <c r="AR208">
        <f t="shared" si="76"/>
        <v>284.61538461538458</v>
      </c>
      <c r="AS208">
        <f t="shared" si="77"/>
        <v>34.605532786885249</v>
      </c>
      <c r="AT208">
        <f t="shared" si="78"/>
        <v>7.6844262295081969E-2</v>
      </c>
      <c r="AU208">
        <f t="shared" si="79"/>
        <v>21.183028801486529</v>
      </c>
      <c r="AV208">
        <f t="shared" si="80"/>
        <v>0.89811087023846392</v>
      </c>
      <c r="AW208">
        <f t="shared" si="81"/>
        <v>36.977392381542273</v>
      </c>
      <c r="AX208">
        <f t="shared" si="82"/>
        <v>4.5834623722514714</v>
      </c>
      <c r="AY208">
        <f t="shared" si="83"/>
        <v>2910.0467289719627</v>
      </c>
      <c r="AZ208">
        <f t="shared" si="84"/>
        <v>1315.3846153846152</v>
      </c>
      <c r="BA208">
        <f t="shared" si="85"/>
        <v>5.7692307692307692</v>
      </c>
      <c r="BB208" t="s">
        <v>33</v>
      </c>
      <c r="BC208" t="s">
        <v>33</v>
      </c>
      <c r="BD208">
        <v>39.04</v>
      </c>
      <c r="BE208">
        <v>0.52</v>
      </c>
      <c r="BF208">
        <v>0.49</v>
      </c>
      <c r="BG208">
        <v>0.03</v>
      </c>
      <c r="BH208">
        <v>13.51</v>
      </c>
      <c r="BI208">
        <v>115324</v>
      </c>
      <c r="BJ208">
        <v>1887</v>
      </c>
      <c r="BK208">
        <v>29</v>
      </c>
      <c r="BL208">
        <v>407</v>
      </c>
      <c r="BM208">
        <v>73</v>
      </c>
      <c r="BN208">
        <v>684</v>
      </c>
      <c r="BO208">
        <v>30</v>
      </c>
      <c r="BP208">
        <v>27</v>
      </c>
      <c r="BQ208">
        <v>92</v>
      </c>
      <c r="BR208">
        <v>112095</v>
      </c>
      <c r="BS208" t="s">
        <v>44</v>
      </c>
      <c r="BT208" t="s">
        <v>331</v>
      </c>
      <c r="BU208">
        <v>0</v>
      </c>
      <c r="BV208">
        <v>0</v>
      </c>
      <c r="BW208">
        <v>0</v>
      </c>
      <c r="BX208">
        <v>0.1</v>
      </c>
      <c r="BY208">
        <v>44.6</v>
      </c>
      <c r="BZ208">
        <v>44.6</v>
      </c>
      <c r="CA208">
        <v>0</v>
      </c>
      <c r="CB208">
        <v>0</v>
      </c>
      <c r="CC208">
        <v>0</v>
      </c>
      <c r="CD208">
        <f t="shared" si="86"/>
        <v>0</v>
      </c>
      <c r="CE208">
        <v>0</v>
      </c>
    </row>
    <row r="209" spans="1:83" x14ac:dyDescent="0.4">
      <c r="A209" t="s">
        <v>1156</v>
      </c>
      <c r="B209" t="s">
        <v>49</v>
      </c>
      <c r="C209" t="s">
        <v>73</v>
      </c>
      <c r="D209" t="s">
        <v>82</v>
      </c>
      <c r="E209" t="s">
        <v>49</v>
      </c>
      <c r="F209" t="s">
        <v>32</v>
      </c>
      <c r="G209">
        <v>70</v>
      </c>
      <c r="H209">
        <v>66</v>
      </c>
      <c r="I209">
        <v>67</v>
      </c>
      <c r="J209">
        <f t="shared" si="70"/>
        <v>3</v>
      </c>
      <c r="K209">
        <f t="shared" si="71"/>
        <v>-1</v>
      </c>
      <c r="L209">
        <v>4</v>
      </c>
      <c r="M209">
        <v>66.959999999999994</v>
      </c>
      <c r="N209" t="s">
        <v>701</v>
      </c>
      <c r="O209" t="s">
        <v>702</v>
      </c>
      <c r="P209" t="s">
        <v>13</v>
      </c>
      <c r="Q209">
        <v>0.2</v>
      </c>
      <c r="R209" t="s">
        <v>13</v>
      </c>
      <c r="S209" t="s">
        <v>15</v>
      </c>
      <c r="T209" t="s">
        <v>14</v>
      </c>
      <c r="U209">
        <v>2.5</v>
      </c>
      <c r="V209" t="s">
        <v>14</v>
      </c>
      <c r="W209">
        <v>0</v>
      </c>
      <c r="X209" t="s">
        <v>14</v>
      </c>
      <c r="Y209" t="s">
        <v>14</v>
      </c>
      <c r="Z209">
        <v>0</v>
      </c>
      <c r="AA209">
        <f t="shared" si="66"/>
        <v>1853.9585248748594</v>
      </c>
      <c r="AB209">
        <f t="shared" si="67"/>
        <v>68.689345183369085</v>
      </c>
      <c r="AC209">
        <f t="shared" si="68"/>
        <v>67.463479415670662</v>
      </c>
      <c r="AD209" t="s">
        <v>15</v>
      </c>
      <c r="AE209" t="s">
        <v>15</v>
      </c>
      <c r="AF209" t="s">
        <v>18</v>
      </c>
      <c r="AG209" t="s">
        <v>14</v>
      </c>
      <c r="AH209" t="s">
        <v>14</v>
      </c>
      <c r="AI209" t="s">
        <v>14</v>
      </c>
      <c r="AJ209" t="s">
        <v>14</v>
      </c>
      <c r="AK209" t="s">
        <v>14</v>
      </c>
      <c r="AL209" t="s">
        <v>14</v>
      </c>
      <c r="AM209">
        <f t="shared" si="69"/>
        <v>98.21534800713863</v>
      </c>
      <c r="AN209">
        <f t="shared" si="72"/>
        <v>2359.8453301606187</v>
      </c>
      <c r="AO209">
        <f t="shared" si="73"/>
        <v>1807.2427126710293</v>
      </c>
      <c r="AP209">
        <f t="shared" si="74"/>
        <v>439.39619274241528</v>
      </c>
      <c r="AQ209">
        <f t="shared" si="75"/>
        <v>1.7995240928019038</v>
      </c>
      <c r="AR209">
        <f t="shared" si="76"/>
        <v>113.20642474717431</v>
      </c>
      <c r="AS209">
        <f t="shared" si="77"/>
        <v>15.844315047502299</v>
      </c>
      <c r="AT209">
        <f t="shared" si="78"/>
        <v>1.2156502196342833</v>
      </c>
      <c r="AU209">
        <f t="shared" si="79"/>
        <v>5.2244825934608885</v>
      </c>
      <c r="AV209">
        <f t="shared" si="80"/>
        <v>7.6256018553530466E-2</v>
      </c>
      <c r="AW209">
        <f t="shared" si="81"/>
        <v>18.619703042678161</v>
      </c>
      <c r="AX209">
        <f t="shared" si="82"/>
        <v>4.7971968035493706</v>
      </c>
      <c r="AY209">
        <f t="shared" si="83"/>
        <v>721.53344208809119</v>
      </c>
      <c r="AZ209">
        <f t="shared" si="84"/>
        <v>123.28970850684118</v>
      </c>
      <c r="BA209">
        <f t="shared" si="85"/>
        <v>1.7697798929208806</v>
      </c>
      <c r="BB209" t="s">
        <v>33</v>
      </c>
      <c r="BC209" t="s">
        <v>33</v>
      </c>
      <c r="BD209">
        <v>97.89</v>
      </c>
      <c r="BE209">
        <v>67.239999999999995</v>
      </c>
      <c r="BF209">
        <v>66.040000000000006</v>
      </c>
      <c r="BG209">
        <v>1.19</v>
      </c>
      <c r="BH209">
        <v>15.51</v>
      </c>
      <c r="BI209">
        <v>181484</v>
      </c>
      <c r="BJ209">
        <v>121519</v>
      </c>
      <c r="BK209">
        <v>121</v>
      </c>
      <c r="BL209">
        <v>14193</v>
      </c>
      <c r="BM209">
        <v>442</v>
      </c>
      <c r="BN209">
        <v>8290</v>
      </c>
      <c r="BO209">
        <v>6620</v>
      </c>
      <c r="BP209">
        <v>180</v>
      </c>
      <c r="BQ209">
        <v>7311</v>
      </c>
      <c r="BR209">
        <v>22115</v>
      </c>
      <c r="BS209" t="s">
        <v>21</v>
      </c>
      <c r="BT209" t="s">
        <v>700</v>
      </c>
      <c r="BU209">
        <v>0</v>
      </c>
      <c r="BV209">
        <v>0</v>
      </c>
      <c r="BW209">
        <v>0</v>
      </c>
      <c r="BX209">
        <v>0</v>
      </c>
      <c r="BY209">
        <v>110.3</v>
      </c>
      <c r="BZ209">
        <v>110.5</v>
      </c>
      <c r="CA209">
        <v>0</v>
      </c>
      <c r="CB209">
        <v>0</v>
      </c>
      <c r="CC209">
        <v>0</v>
      </c>
      <c r="CD209">
        <f t="shared" si="86"/>
        <v>1.8099547511312153E-3</v>
      </c>
      <c r="CE209">
        <v>0</v>
      </c>
    </row>
    <row r="210" spans="1:83" x14ac:dyDescent="0.4">
      <c r="A210" t="s">
        <v>1157</v>
      </c>
      <c r="B210" t="s">
        <v>34</v>
      </c>
      <c r="C210" t="s">
        <v>34</v>
      </c>
      <c r="D210" t="s">
        <v>34</v>
      </c>
      <c r="E210" t="s">
        <v>49</v>
      </c>
      <c r="F210" t="s">
        <v>32</v>
      </c>
      <c r="G210">
        <v>70</v>
      </c>
      <c r="H210">
        <v>72</v>
      </c>
      <c r="I210">
        <v>81.5</v>
      </c>
      <c r="J210">
        <f t="shared" si="70"/>
        <v>-11.5</v>
      </c>
      <c r="K210">
        <f t="shared" si="71"/>
        <v>-9.5</v>
      </c>
      <c r="L210">
        <v>-2</v>
      </c>
      <c r="M210">
        <v>81.5</v>
      </c>
      <c r="N210" t="s">
        <v>704</v>
      </c>
      <c r="O210" t="s">
        <v>705</v>
      </c>
      <c r="P210" t="s">
        <v>13</v>
      </c>
      <c r="Q210">
        <v>0.2</v>
      </c>
      <c r="R210" t="s">
        <v>13</v>
      </c>
      <c r="S210" t="s">
        <v>15</v>
      </c>
      <c r="T210" t="s">
        <v>14</v>
      </c>
      <c r="U210">
        <v>5</v>
      </c>
      <c r="V210" t="s">
        <v>14</v>
      </c>
      <c r="W210">
        <v>0</v>
      </c>
      <c r="X210" t="s">
        <v>14</v>
      </c>
      <c r="Y210" t="s">
        <v>14</v>
      </c>
      <c r="Z210">
        <v>0</v>
      </c>
      <c r="AA210">
        <f t="shared" si="66"/>
        <v>694.48784722222229</v>
      </c>
      <c r="AB210">
        <f t="shared" si="67"/>
        <v>16.102430555555557</v>
      </c>
      <c r="AC210">
        <f t="shared" si="68"/>
        <v>14.973958333333334</v>
      </c>
      <c r="AD210" t="s">
        <v>36</v>
      </c>
      <c r="AE210" t="s">
        <v>15</v>
      </c>
      <c r="AF210" t="s">
        <v>18</v>
      </c>
      <c r="AG210" t="s">
        <v>14</v>
      </c>
      <c r="AH210" t="s">
        <v>14</v>
      </c>
      <c r="AI210" t="s">
        <v>14</v>
      </c>
      <c r="AJ210" t="s">
        <v>14</v>
      </c>
      <c r="AK210" t="s">
        <v>14</v>
      </c>
      <c r="AL210" t="s">
        <v>14</v>
      </c>
      <c r="AM210">
        <f t="shared" si="69"/>
        <v>92.991913746630729</v>
      </c>
      <c r="AN210">
        <f t="shared" si="72"/>
        <v>4146.630727762803</v>
      </c>
      <c r="AO210">
        <f t="shared" si="73"/>
        <v>3515.0943396226417</v>
      </c>
      <c r="AP210">
        <f t="shared" si="74"/>
        <v>553.63881401617255</v>
      </c>
      <c r="AQ210">
        <f t="shared" si="75"/>
        <v>62.264150943396224</v>
      </c>
      <c r="AR210">
        <f t="shared" si="76"/>
        <v>77.897574123989216</v>
      </c>
      <c r="AS210">
        <f t="shared" si="77"/>
        <v>72.135416666666671</v>
      </c>
      <c r="AT210">
        <f t="shared" si="78"/>
        <v>1.1284722222222223</v>
      </c>
      <c r="AU210">
        <f t="shared" si="79"/>
        <v>2.0215808632345293</v>
      </c>
      <c r="AV210">
        <f t="shared" si="80"/>
        <v>1.5015600624024961</v>
      </c>
      <c r="AW210">
        <f t="shared" si="81"/>
        <v>13.351534061362454</v>
      </c>
      <c r="AX210">
        <f t="shared" si="82"/>
        <v>1.8785751430057203</v>
      </c>
      <c r="AY210">
        <f t="shared" si="83"/>
        <v>31.867563372995345</v>
      </c>
      <c r="AZ210">
        <f t="shared" si="84"/>
        <v>83.82749326145553</v>
      </c>
      <c r="BA210">
        <f t="shared" si="85"/>
        <v>7.0080862533692727</v>
      </c>
      <c r="BB210" t="s">
        <v>33</v>
      </c>
      <c r="BC210" t="s">
        <v>33</v>
      </c>
      <c r="BD210">
        <v>23.04</v>
      </c>
      <c r="BE210">
        <v>3.71</v>
      </c>
      <c r="BF210">
        <v>3.45</v>
      </c>
      <c r="BG210">
        <v>0.26</v>
      </c>
      <c r="BH210">
        <v>16.62</v>
      </c>
      <c r="BI210">
        <v>16001</v>
      </c>
      <c r="BJ210">
        <v>13041</v>
      </c>
      <c r="BK210">
        <v>231</v>
      </c>
      <c r="BL210">
        <v>1525</v>
      </c>
      <c r="BM210">
        <v>180</v>
      </c>
      <c r="BN210">
        <v>311</v>
      </c>
      <c r="BO210">
        <v>38</v>
      </c>
      <c r="BP210">
        <v>16</v>
      </c>
      <c r="BQ210">
        <v>42</v>
      </c>
      <c r="BR210">
        <v>616</v>
      </c>
      <c r="BS210" t="s">
        <v>21</v>
      </c>
      <c r="BT210" t="s">
        <v>703</v>
      </c>
      <c r="BU210">
        <v>0.1</v>
      </c>
      <c r="BV210">
        <v>0</v>
      </c>
      <c r="BW210">
        <v>0</v>
      </c>
      <c r="BX210">
        <v>0</v>
      </c>
      <c r="BY210">
        <v>36.200000000000003</v>
      </c>
      <c r="BZ210">
        <v>36.299999999999997</v>
      </c>
      <c r="CA210">
        <v>0</v>
      </c>
      <c r="CB210">
        <v>0</v>
      </c>
      <c r="CC210">
        <v>0</v>
      </c>
      <c r="CD210">
        <f t="shared" si="86"/>
        <v>2.7548209366389242E-3</v>
      </c>
      <c r="CE210">
        <v>0</v>
      </c>
    </row>
    <row r="211" spans="1:83" x14ac:dyDescent="0.4">
      <c r="A211" t="s">
        <v>1158</v>
      </c>
      <c r="B211" t="s">
        <v>43</v>
      </c>
      <c r="C211" t="s">
        <v>82</v>
      </c>
      <c r="D211" t="s">
        <v>82</v>
      </c>
      <c r="E211" t="s">
        <v>49</v>
      </c>
      <c r="F211" t="s">
        <v>12</v>
      </c>
      <c r="G211">
        <v>70</v>
      </c>
      <c r="H211">
        <v>47</v>
      </c>
      <c r="I211">
        <v>41.5</v>
      </c>
      <c r="J211">
        <f t="shared" si="70"/>
        <v>28.5</v>
      </c>
      <c r="K211">
        <f t="shared" si="71"/>
        <v>5.5</v>
      </c>
      <c r="L211">
        <v>23</v>
      </c>
      <c r="M211">
        <v>41.33</v>
      </c>
      <c r="N211" t="s">
        <v>707</v>
      </c>
      <c r="O211" t="s">
        <v>708</v>
      </c>
      <c r="P211" t="s">
        <v>13</v>
      </c>
      <c r="Q211">
        <v>4.0999999999999996</v>
      </c>
      <c r="R211" t="s">
        <v>26</v>
      </c>
      <c r="S211" t="s">
        <v>15</v>
      </c>
      <c r="T211" t="s">
        <v>14</v>
      </c>
      <c r="U211">
        <v>30</v>
      </c>
      <c r="V211" t="s">
        <v>17</v>
      </c>
      <c r="W211">
        <f>BC211/BB211</f>
        <v>0.5</v>
      </c>
      <c r="X211" t="s">
        <v>14</v>
      </c>
      <c r="Y211" t="s">
        <v>14</v>
      </c>
      <c r="Z211">
        <v>5</v>
      </c>
      <c r="AA211">
        <f t="shared" si="66"/>
        <v>4870.897031464855</v>
      </c>
      <c r="AB211">
        <f t="shared" si="67"/>
        <v>71.252932136212891</v>
      </c>
      <c r="AC211">
        <f t="shared" si="68"/>
        <v>49.712852867427003</v>
      </c>
      <c r="AD211" t="s">
        <v>15</v>
      </c>
      <c r="AE211" t="s">
        <v>15</v>
      </c>
      <c r="AF211" t="s">
        <v>24</v>
      </c>
      <c r="AG211" t="s">
        <v>14</v>
      </c>
      <c r="AH211" t="s">
        <v>17</v>
      </c>
      <c r="AI211" t="s">
        <v>18</v>
      </c>
      <c r="AJ211" t="s">
        <v>14</v>
      </c>
      <c r="AK211" t="s">
        <v>14</v>
      </c>
      <c r="AL211" t="s">
        <v>14</v>
      </c>
      <c r="AM211">
        <f t="shared" si="69"/>
        <v>69.769553865364969</v>
      </c>
      <c r="AN211">
        <f t="shared" si="72"/>
        <v>6285.3104779203086</v>
      </c>
      <c r="AO211">
        <f t="shared" si="73"/>
        <v>2825.4058349415368</v>
      </c>
      <c r="AP211">
        <f t="shared" si="74"/>
        <v>1069.7468498126916</v>
      </c>
      <c r="AQ211">
        <f t="shared" si="75"/>
        <v>698.6377568395958</v>
      </c>
      <c r="AR211">
        <f t="shared" si="76"/>
        <v>2390.15779316608</v>
      </c>
      <c r="AS211">
        <f t="shared" si="77"/>
        <v>5.1524710830704521</v>
      </c>
      <c r="AT211">
        <f t="shared" si="78"/>
        <v>21.531990617164119</v>
      </c>
      <c r="AU211">
        <f t="shared" si="79"/>
        <v>12.537725336073819</v>
      </c>
      <c r="AV211">
        <f t="shared" si="80"/>
        <v>11.115405663631783</v>
      </c>
      <c r="AW211">
        <f t="shared" si="81"/>
        <v>17.019793271479735</v>
      </c>
      <c r="AX211">
        <f t="shared" si="82"/>
        <v>38.027680598475996</v>
      </c>
      <c r="AY211">
        <f t="shared" si="83"/>
        <v>1349.212155317952</v>
      </c>
      <c r="AZ211">
        <f t="shared" si="84"/>
        <v>788.034964241117</v>
      </c>
      <c r="BA211">
        <f t="shared" si="85"/>
        <v>30.219094108298329</v>
      </c>
      <c r="BB211" t="s">
        <v>31</v>
      </c>
      <c r="BC211" t="s">
        <v>16</v>
      </c>
      <c r="BD211">
        <v>123.63</v>
      </c>
      <c r="BE211">
        <v>88.09</v>
      </c>
      <c r="BF211">
        <v>61.46</v>
      </c>
      <c r="BG211">
        <v>26.62</v>
      </c>
      <c r="BH211">
        <v>6.37</v>
      </c>
      <c r="BI211">
        <v>602189</v>
      </c>
      <c r="BJ211">
        <v>248890</v>
      </c>
      <c r="BK211">
        <v>61543</v>
      </c>
      <c r="BL211">
        <v>12680</v>
      </c>
      <c r="BM211">
        <v>10034</v>
      </c>
      <c r="BN211">
        <v>69418</v>
      </c>
      <c r="BO211">
        <v>2102</v>
      </c>
      <c r="BP211">
        <v>8095</v>
      </c>
      <c r="BQ211">
        <v>140911</v>
      </c>
      <c r="BR211">
        <v>47951</v>
      </c>
      <c r="BS211" t="s">
        <v>21</v>
      </c>
      <c r="BT211" t="s">
        <v>706</v>
      </c>
      <c r="BU211">
        <v>0.1</v>
      </c>
      <c r="BV211">
        <v>4.9000000000000004</v>
      </c>
      <c r="BW211">
        <v>0</v>
      </c>
      <c r="BX211">
        <v>1.3</v>
      </c>
      <c r="BY211">
        <v>174.7</v>
      </c>
      <c r="BZ211">
        <v>194.8</v>
      </c>
      <c r="CA211">
        <v>2</v>
      </c>
      <c r="CB211">
        <v>1</v>
      </c>
      <c r="CC211">
        <v>0</v>
      </c>
      <c r="CD211">
        <f t="shared" si="86"/>
        <v>0.1031827515400412</v>
      </c>
      <c r="CE211">
        <v>0.5</v>
      </c>
    </row>
    <row r="212" spans="1:83" x14ac:dyDescent="0.4">
      <c r="A212" t="s">
        <v>1159</v>
      </c>
      <c r="B212" t="s">
        <v>42</v>
      </c>
      <c r="C212" t="s">
        <v>82</v>
      </c>
      <c r="D212" t="s">
        <v>82</v>
      </c>
      <c r="E212" t="s">
        <v>49</v>
      </c>
      <c r="F212" t="s">
        <v>12</v>
      </c>
      <c r="G212">
        <v>70</v>
      </c>
      <c r="H212">
        <v>76</v>
      </c>
      <c r="I212">
        <v>55.5</v>
      </c>
      <c r="J212">
        <f t="shared" si="70"/>
        <v>14.5</v>
      </c>
      <c r="K212">
        <f t="shared" si="71"/>
        <v>20.5</v>
      </c>
      <c r="L212">
        <v>-6</v>
      </c>
      <c r="M212">
        <v>55.39</v>
      </c>
      <c r="N212" t="s">
        <v>710</v>
      </c>
      <c r="O212" t="s">
        <v>711</v>
      </c>
      <c r="P212" t="s">
        <v>13</v>
      </c>
      <c r="Q212">
        <v>0.1</v>
      </c>
      <c r="R212" t="s">
        <v>13</v>
      </c>
      <c r="S212" t="s">
        <v>27</v>
      </c>
      <c r="T212" t="s">
        <v>14</v>
      </c>
      <c r="U212">
        <v>10</v>
      </c>
      <c r="V212" t="s">
        <v>17</v>
      </c>
      <c r="W212">
        <f>BC212/BB212</f>
        <v>0.75</v>
      </c>
      <c r="X212" t="s">
        <v>14</v>
      </c>
      <c r="Y212" t="s">
        <v>14</v>
      </c>
      <c r="Z212">
        <v>0</v>
      </c>
      <c r="AA212">
        <f t="shared" si="66"/>
        <v>1564.3068059056536</v>
      </c>
      <c r="AB212">
        <f t="shared" si="67"/>
        <v>43.737846597047174</v>
      </c>
      <c r="AC212">
        <f t="shared" si="68"/>
        <v>23.168887288440764</v>
      </c>
      <c r="AD212" t="s">
        <v>15</v>
      </c>
      <c r="AE212" t="s">
        <v>36</v>
      </c>
      <c r="AF212" t="s">
        <v>18</v>
      </c>
      <c r="AG212" t="s">
        <v>17</v>
      </c>
      <c r="AH212" t="s">
        <v>14</v>
      </c>
      <c r="AI212" t="s">
        <v>18</v>
      </c>
      <c r="AJ212" t="s">
        <v>14</v>
      </c>
      <c r="AK212" t="s">
        <v>14</v>
      </c>
      <c r="AL212" t="s">
        <v>14</v>
      </c>
      <c r="AM212">
        <f t="shared" si="69"/>
        <v>52.97217190844723</v>
      </c>
      <c r="AN212">
        <f t="shared" si="72"/>
        <v>3394.5002469948954</v>
      </c>
      <c r="AO212">
        <f t="shared" si="73"/>
        <v>1980.9813930512105</v>
      </c>
      <c r="AP212">
        <f t="shared" si="74"/>
        <v>477.14473900872719</v>
      </c>
      <c r="AQ212">
        <f t="shared" si="75"/>
        <v>827.95982216367531</v>
      </c>
      <c r="AR212">
        <f t="shared" si="76"/>
        <v>936.37411493495802</v>
      </c>
      <c r="AS212">
        <f t="shared" si="77"/>
        <v>53.122074180770625</v>
      </c>
      <c r="AT212">
        <f t="shared" si="78"/>
        <v>20.561757292041772</v>
      </c>
      <c r="AU212">
        <f t="shared" si="79"/>
        <v>7.676523662611328</v>
      </c>
      <c r="AV212">
        <f t="shared" si="80"/>
        <v>24.391214079205231</v>
      </c>
      <c r="AW212">
        <f t="shared" si="81"/>
        <v>14.056406077187264</v>
      </c>
      <c r="AX212">
        <f t="shared" si="82"/>
        <v>27.585035993558026</v>
      </c>
      <c r="AY212">
        <f t="shared" si="83"/>
        <v>140.15616999487966</v>
      </c>
      <c r="AZ212">
        <f t="shared" si="84"/>
        <v>260.5796146879631</v>
      </c>
      <c r="BA212">
        <f t="shared" si="85"/>
        <v>47.011361765190188</v>
      </c>
      <c r="BB212" t="s">
        <v>28</v>
      </c>
      <c r="BC212" t="s">
        <v>30</v>
      </c>
      <c r="BD212">
        <v>138.85</v>
      </c>
      <c r="BE212">
        <v>60.73</v>
      </c>
      <c r="BF212">
        <v>32.17</v>
      </c>
      <c r="BG212">
        <v>28.55</v>
      </c>
      <c r="BH212">
        <v>73.760000000000005</v>
      </c>
      <c r="BI212">
        <v>217204</v>
      </c>
      <c r="BJ212">
        <v>120305</v>
      </c>
      <c r="BK212">
        <v>50282</v>
      </c>
      <c r="BL212">
        <v>6314</v>
      </c>
      <c r="BM212">
        <v>1780</v>
      </c>
      <c r="BN212">
        <v>15825</v>
      </c>
      <c r="BO212">
        <v>5058</v>
      </c>
      <c r="BP212">
        <v>4392</v>
      </c>
      <c r="BQ212">
        <v>2192</v>
      </c>
      <c r="BR212">
        <v>10949</v>
      </c>
      <c r="BS212" t="s">
        <v>21</v>
      </c>
      <c r="BT212" t="s">
        <v>709</v>
      </c>
      <c r="BU212">
        <v>0</v>
      </c>
      <c r="BV212">
        <v>0.2</v>
      </c>
      <c r="BW212">
        <v>0</v>
      </c>
      <c r="BX212">
        <v>0.7</v>
      </c>
      <c r="BY212">
        <v>148.19999999999999</v>
      </c>
      <c r="BZ212">
        <v>149.80000000000001</v>
      </c>
      <c r="CA212">
        <v>4</v>
      </c>
      <c r="CB212">
        <v>3</v>
      </c>
      <c r="CC212">
        <v>0</v>
      </c>
      <c r="CD212">
        <f t="shared" si="86"/>
        <v>1.0680907877169687E-2</v>
      </c>
      <c r="CE212">
        <v>0.75</v>
      </c>
    </row>
    <row r="213" spans="1:83" x14ac:dyDescent="0.4">
      <c r="A213" t="s">
        <v>1160</v>
      </c>
      <c r="B213" t="s">
        <v>49</v>
      </c>
      <c r="C213" t="s">
        <v>73</v>
      </c>
      <c r="D213" t="s">
        <v>82</v>
      </c>
      <c r="E213" t="s">
        <v>49</v>
      </c>
      <c r="F213" t="s">
        <v>22</v>
      </c>
      <c r="G213">
        <v>60</v>
      </c>
      <c r="H213">
        <v>54</v>
      </c>
      <c r="I213">
        <v>44.5</v>
      </c>
      <c r="J213">
        <f t="shared" si="70"/>
        <v>15.5</v>
      </c>
      <c r="K213">
        <f t="shared" si="71"/>
        <v>9.5</v>
      </c>
      <c r="L213">
        <v>6</v>
      </c>
      <c r="M213">
        <v>44.52</v>
      </c>
      <c r="N213" t="s">
        <v>712</v>
      </c>
      <c r="O213" t="s">
        <v>713</v>
      </c>
      <c r="P213" t="s">
        <v>26</v>
      </c>
      <c r="Q213">
        <v>7.2</v>
      </c>
      <c r="R213" t="s">
        <v>13</v>
      </c>
      <c r="S213" t="s">
        <v>15</v>
      </c>
      <c r="T213" t="s">
        <v>14</v>
      </c>
      <c r="U213">
        <v>30</v>
      </c>
      <c r="V213" t="s">
        <v>17</v>
      </c>
      <c r="W213">
        <f>BC213/BB213</f>
        <v>1</v>
      </c>
      <c r="X213" t="s">
        <v>14</v>
      </c>
      <c r="Y213" t="s">
        <v>14</v>
      </c>
      <c r="Z213">
        <v>20</v>
      </c>
      <c r="AA213">
        <f t="shared" si="66"/>
        <v>1323.8522954091818</v>
      </c>
      <c r="AB213">
        <f t="shared" si="67"/>
        <v>15.469061876247507</v>
      </c>
      <c r="AC213">
        <f t="shared" si="68"/>
        <v>7.6846307385229542</v>
      </c>
      <c r="AD213" t="s">
        <v>15</v>
      </c>
      <c r="AE213" t="s">
        <v>36</v>
      </c>
      <c r="AF213" t="s">
        <v>18</v>
      </c>
      <c r="AG213" t="s">
        <v>14</v>
      </c>
      <c r="AH213" t="s">
        <v>14</v>
      </c>
      <c r="AI213" t="s">
        <v>18</v>
      </c>
      <c r="AJ213" t="s">
        <v>14</v>
      </c>
      <c r="AK213" t="s">
        <v>14</v>
      </c>
      <c r="AL213" t="s">
        <v>17</v>
      </c>
      <c r="AM213">
        <f t="shared" si="69"/>
        <v>49.677419354838712</v>
      </c>
      <c r="AN213">
        <f t="shared" si="72"/>
        <v>7248.3870967741932</v>
      </c>
      <c r="AO213">
        <f t="shared" si="73"/>
        <v>3809.6774193548385</v>
      </c>
      <c r="AP213">
        <f t="shared" si="74"/>
        <v>1950.9677419354839</v>
      </c>
      <c r="AQ213">
        <f t="shared" si="75"/>
        <v>1044.516129032258</v>
      </c>
      <c r="AR213">
        <f t="shared" si="76"/>
        <v>1487.741935483871</v>
      </c>
      <c r="AS213">
        <f t="shared" si="77"/>
        <v>72.954091816367267</v>
      </c>
      <c r="AT213">
        <f t="shared" si="78"/>
        <v>7.7844311377245514</v>
      </c>
      <c r="AU213">
        <f t="shared" si="79"/>
        <v>16.261682242990656</v>
      </c>
      <c r="AV213">
        <f t="shared" si="80"/>
        <v>14.410324877614597</v>
      </c>
      <c r="AW213">
        <f t="shared" si="81"/>
        <v>26.915887850467289</v>
      </c>
      <c r="AX213">
        <f t="shared" si="82"/>
        <v>20.525144637294169</v>
      </c>
      <c r="AY213">
        <f t="shared" si="83"/>
        <v>233.6481700118064</v>
      </c>
      <c r="AZ213">
        <f t="shared" si="84"/>
        <v>1178.7096774193549</v>
      </c>
      <c r="BA213">
        <f t="shared" si="85"/>
        <v>50.322580645161288</v>
      </c>
      <c r="BB213" t="s">
        <v>28</v>
      </c>
      <c r="BC213" t="s">
        <v>28</v>
      </c>
      <c r="BD213">
        <v>10.02</v>
      </c>
      <c r="BE213">
        <v>1.55</v>
      </c>
      <c r="BF213">
        <v>0.77</v>
      </c>
      <c r="BG213">
        <v>0.78</v>
      </c>
      <c r="BH213">
        <v>7.31</v>
      </c>
      <c r="BI213">
        <v>13265</v>
      </c>
      <c r="BJ213">
        <v>5905</v>
      </c>
      <c r="BK213">
        <v>1619</v>
      </c>
      <c r="BL213">
        <v>399</v>
      </c>
      <c r="BM213">
        <v>538</v>
      </c>
      <c r="BN213">
        <v>1827</v>
      </c>
      <c r="BO213">
        <v>260</v>
      </c>
      <c r="BP213">
        <v>465</v>
      </c>
      <c r="BQ213">
        <v>222</v>
      </c>
      <c r="BR213">
        <v>1979</v>
      </c>
      <c r="BS213" t="s">
        <v>21</v>
      </c>
      <c r="BT213" t="s">
        <v>596</v>
      </c>
      <c r="BU213">
        <v>0.1</v>
      </c>
      <c r="BV213">
        <v>0</v>
      </c>
      <c r="BW213">
        <v>0</v>
      </c>
      <c r="BX213">
        <v>5</v>
      </c>
      <c r="BY213">
        <v>12.7</v>
      </c>
      <c r="BZ213">
        <v>14.5</v>
      </c>
      <c r="CA213">
        <v>4</v>
      </c>
      <c r="CB213">
        <v>4</v>
      </c>
      <c r="CC213">
        <v>0</v>
      </c>
      <c r="CD213">
        <f t="shared" si="86"/>
        <v>0.12413793103448278</v>
      </c>
      <c r="CE213">
        <v>1</v>
      </c>
    </row>
    <row r="214" spans="1:83" x14ac:dyDescent="0.4">
      <c r="A214" t="s">
        <v>1161</v>
      </c>
      <c r="B214" t="s">
        <v>49</v>
      </c>
      <c r="C214" t="s">
        <v>73</v>
      </c>
      <c r="D214" t="s">
        <v>82</v>
      </c>
      <c r="E214" t="s">
        <v>49</v>
      </c>
      <c r="F214" t="s">
        <v>22</v>
      </c>
      <c r="G214">
        <v>30</v>
      </c>
      <c r="H214">
        <v>15</v>
      </c>
      <c r="I214">
        <v>44</v>
      </c>
      <c r="J214">
        <f t="shared" si="70"/>
        <v>-14</v>
      </c>
      <c r="K214">
        <f t="shared" si="71"/>
        <v>-29</v>
      </c>
      <c r="L214">
        <v>15</v>
      </c>
      <c r="M214">
        <v>43.76</v>
      </c>
      <c r="N214" t="s">
        <v>714</v>
      </c>
      <c r="O214" t="s">
        <v>715</v>
      </c>
      <c r="P214" t="s">
        <v>13</v>
      </c>
      <c r="Q214">
        <v>1</v>
      </c>
      <c r="R214" t="s">
        <v>13</v>
      </c>
      <c r="S214" t="s">
        <v>15</v>
      </c>
      <c r="T214" t="s">
        <v>14</v>
      </c>
      <c r="U214">
        <v>2.5</v>
      </c>
      <c r="V214" t="s">
        <v>14</v>
      </c>
      <c r="W214">
        <f>BC214/BB214</f>
        <v>1</v>
      </c>
      <c r="X214" t="s">
        <v>14</v>
      </c>
      <c r="Y214" t="s">
        <v>14</v>
      </c>
      <c r="Z214">
        <v>0</v>
      </c>
      <c r="AA214">
        <f t="shared" si="66"/>
        <v>6387.4639769452442</v>
      </c>
      <c r="AB214">
        <f t="shared" si="67"/>
        <v>95.533141210374637</v>
      </c>
      <c r="AC214">
        <f t="shared" si="68"/>
        <v>42.507204610951007</v>
      </c>
      <c r="AD214" t="s">
        <v>27</v>
      </c>
      <c r="AE214" t="s">
        <v>15</v>
      </c>
      <c r="AF214" t="s">
        <v>18</v>
      </c>
      <c r="AG214" t="s">
        <v>14</v>
      </c>
      <c r="AH214" t="s">
        <v>14</v>
      </c>
      <c r="AI214" t="s">
        <v>18</v>
      </c>
      <c r="AJ214" t="s">
        <v>14</v>
      </c>
      <c r="AK214" t="s">
        <v>14</v>
      </c>
      <c r="AL214" t="s">
        <v>17</v>
      </c>
      <c r="AM214">
        <f t="shared" si="69"/>
        <v>44.494720965309199</v>
      </c>
      <c r="AN214">
        <f t="shared" si="72"/>
        <v>6514.0271493212667</v>
      </c>
      <c r="AO214">
        <f t="shared" si="73"/>
        <v>2926.0935143288084</v>
      </c>
      <c r="AP214">
        <f t="shared" si="74"/>
        <v>1600.7541478129713</v>
      </c>
      <c r="AQ214">
        <f t="shared" si="75"/>
        <v>1663.1975867269985</v>
      </c>
      <c r="AR214">
        <f t="shared" si="76"/>
        <v>1987.1794871794873</v>
      </c>
      <c r="AS214">
        <f t="shared" si="77"/>
        <v>1.0086455331412105</v>
      </c>
      <c r="AT214">
        <f t="shared" si="78"/>
        <v>53.02593659942363</v>
      </c>
      <c r="AU214">
        <f t="shared" si="79"/>
        <v>16.347133462998983</v>
      </c>
      <c r="AV214">
        <f t="shared" si="80"/>
        <v>25.532555339446141</v>
      </c>
      <c r="AW214">
        <f t="shared" si="81"/>
        <v>24.573955728443085</v>
      </c>
      <c r="AX214">
        <f t="shared" si="82"/>
        <v>30.506159118273594</v>
      </c>
      <c r="AY214">
        <f t="shared" si="83"/>
        <v>3483.8709677419297</v>
      </c>
      <c r="AZ214">
        <f t="shared" si="84"/>
        <v>1064.8567119155355</v>
      </c>
      <c r="BA214">
        <f t="shared" si="85"/>
        <v>55.505279034690801</v>
      </c>
      <c r="BB214" t="s">
        <v>29</v>
      </c>
      <c r="BC214" t="s">
        <v>29</v>
      </c>
      <c r="BD214">
        <v>6.94</v>
      </c>
      <c r="BE214">
        <v>6.63</v>
      </c>
      <c r="BF214">
        <v>2.95</v>
      </c>
      <c r="BG214">
        <v>3.68</v>
      </c>
      <c r="BH214">
        <v>7.0000000000000007E-2</v>
      </c>
      <c r="BI214">
        <v>44329</v>
      </c>
      <c r="BJ214">
        <v>19400</v>
      </c>
      <c r="BK214">
        <v>11027</v>
      </c>
      <c r="BL214">
        <v>1187</v>
      </c>
      <c r="BM214">
        <v>917</v>
      </c>
      <c r="BN214">
        <v>7060</v>
      </c>
      <c r="BO214">
        <v>1449</v>
      </c>
      <c r="BP214">
        <v>1806</v>
      </c>
      <c r="BQ214">
        <v>342</v>
      </c>
      <c r="BR214">
        <v>1080</v>
      </c>
      <c r="BS214" t="s">
        <v>21</v>
      </c>
      <c r="BT214" t="s">
        <v>264</v>
      </c>
      <c r="BU214">
        <v>0</v>
      </c>
      <c r="BV214">
        <v>0</v>
      </c>
      <c r="BW214">
        <v>0</v>
      </c>
      <c r="BX214">
        <v>2.2000000000000002</v>
      </c>
      <c r="BY214">
        <v>7.6</v>
      </c>
      <c r="BZ214">
        <v>7.8</v>
      </c>
      <c r="CA214">
        <v>5</v>
      </c>
      <c r="CB214">
        <v>5</v>
      </c>
      <c r="CC214">
        <v>0</v>
      </c>
      <c r="CD214">
        <f t="shared" si="86"/>
        <v>2.5641025641025661E-2</v>
      </c>
      <c r="CE214">
        <v>1</v>
      </c>
    </row>
    <row r="215" spans="1:83" x14ac:dyDescent="0.4">
      <c r="A215" t="s">
        <v>1162</v>
      </c>
      <c r="B215" t="s">
        <v>34</v>
      </c>
      <c r="C215" t="s">
        <v>34</v>
      </c>
      <c r="D215" t="s">
        <v>34</v>
      </c>
      <c r="E215" t="s">
        <v>49</v>
      </c>
      <c r="F215" t="s">
        <v>32</v>
      </c>
      <c r="G215">
        <v>60</v>
      </c>
      <c r="H215">
        <v>45</v>
      </c>
      <c r="I215">
        <v>76.5</v>
      </c>
      <c r="J215">
        <f t="shared" si="70"/>
        <v>-16.5</v>
      </c>
      <c r="K215">
        <f t="shared" si="71"/>
        <v>-31.5</v>
      </c>
      <c r="L215">
        <v>15</v>
      </c>
      <c r="M215">
        <v>76.709999999999994</v>
      </c>
      <c r="N215" t="s">
        <v>717</v>
      </c>
      <c r="O215" t="s">
        <v>718</v>
      </c>
      <c r="P215" t="s">
        <v>13</v>
      </c>
      <c r="Q215">
        <v>0.3</v>
      </c>
      <c r="R215" t="s">
        <v>13</v>
      </c>
      <c r="S215" t="s">
        <v>15</v>
      </c>
      <c r="T215" t="s">
        <v>14</v>
      </c>
      <c r="U215">
        <v>2.5</v>
      </c>
      <c r="V215" t="s">
        <v>14</v>
      </c>
      <c r="W215">
        <v>0</v>
      </c>
      <c r="X215" t="s">
        <v>14</v>
      </c>
      <c r="Y215" t="s">
        <v>14</v>
      </c>
      <c r="Z215">
        <v>0</v>
      </c>
      <c r="AA215">
        <f t="shared" si="66"/>
        <v>768.22010106681648</v>
      </c>
      <c r="AB215">
        <f t="shared" si="67"/>
        <v>13.391353172375069</v>
      </c>
      <c r="AC215">
        <f t="shared" si="68"/>
        <v>13.391353172375069</v>
      </c>
      <c r="AD215" t="s">
        <v>36</v>
      </c>
      <c r="AE215" t="s">
        <v>15</v>
      </c>
      <c r="AF215" t="s">
        <v>18</v>
      </c>
      <c r="AG215" t="s">
        <v>14</v>
      </c>
      <c r="AH215" t="s">
        <v>14</v>
      </c>
      <c r="AI215" t="s">
        <v>14</v>
      </c>
      <c r="AJ215" t="s">
        <v>14</v>
      </c>
      <c r="AK215" t="s">
        <v>14</v>
      </c>
      <c r="AL215" t="s">
        <v>14</v>
      </c>
      <c r="AM215">
        <f t="shared" si="69"/>
        <v>100</v>
      </c>
      <c r="AN215">
        <f t="shared" si="72"/>
        <v>5596.6457023060802</v>
      </c>
      <c r="AO215">
        <f t="shared" si="73"/>
        <v>4400.4192872117401</v>
      </c>
      <c r="AP215">
        <f t="shared" si="74"/>
        <v>859.11949685534603</v>
      </c>
      <c r="AQ215">
        <f t="shared" si="75"/>
        <v>9.6436058700209646</v>
      </c>
      <c r="AR215">
        <f t="shared" si="76"/>
        <v>337.10691823899373</v>
      </c>
      <c r="AS215">
        <f t="shared" si="77"/>
        <v>77.877596855699053</v>
      </c>
      <c r="AT215">
        <f t="shared" si="78"/>
        <v>0</v>
      </c>
      <c r="AU215">
        <f t="shared" si="79"/>
        <v>3.6784537009289782</v>
      </c>
      <c r="AV215">
        <f t="shared" si="80"/>
        <v>0.17231045849565477</v>
      </c>
      <c r="AW215">
        <f t="shared" si="81"/>
        <v>15.350614324243333</v>
      </c>
      <c r="AX215">
        <f t="shared" si="82"/>
        <v>6.0233742882828887</v>
      </c>
      <c r="AY215">
        <f t="shared" si="83"/>
        <v>21.555915721231766</v>
      </c>
      <c r="AZ215">
        <f t="shared" si="84"/>
        <v>205.87002096436061</v>
      </c>
      <c r="BA215">
        <f t="shared" si="85"/>
        <v>0</v>
      </c>
      <c r="BB215" t="s">
        <v>33</v>
      </c>
      <c r="BC215" t="s">
        <v>33</v>
      </c>
      <c r="BD215">
        <v>35.619999999999997</v>
      </c>
      <c r="BE215">
        <v>4.7699999999999996</v>
      </c>
      <c r="BF215">
        <v>4.7699999999999996</v>
      </c>
      <c r="BG215">
        <v>0</v>
      </c>
      <c r="BH215">
        <v>27.74</v>
      </c>
      <c r="BI215">
        <v>27364</v>
      </c>
      <c r="BJ215">
        <v>20990</v>
      </c>
      <c r="BK215">
        <v>46</v>
      </c>
      <c r="BL215">
        <v>1864</v>
      </c>
      <c r="BM215">
        <v>75</v>
      </c>
      <c r="BN215">
        <v>982</v>
      </c>
      <c r="BO215">
        <v>1177</v>
      </c>
      <c r="BP215">
        <v>6</v>
      </c>
      <c r="BQ215">
        <v>1556</v>
      </c>
      <c r="BR215">
        <v>665</v>
      </c>
      <c r="BS215" t="s">
        <v>44</v>
      </c>
      <c r="BT215" t="s">
        <v>716</v>
      </c>
      <c r="BU215">
        <v>10.1</v>
      </c>
      <c r="BV215">
        <v>0</v>
      </c>
      <c r="BW215">
        <v>0.3</v>
      </c>
      <c r="BX215">
        <v>0</v>
      </c>
      <c r="BY215">
        <v>61</v>
      </c>
      <c r="BZ215">
        <v>68.3</v>
      </c>
      <c r="CA215">
        <v>0</v>
      </c>
      <c r="CB215">
        <v>0</v>
      </c>
      <c r="CC215">
        <v>0</v>
      </c>
      <c r="CD215">
        <f t="shared" si="86"/>
        <v>0.10688140556368952</v>
      </c>
      <c r="CE215">
        <v>0</v>
      </c>
    </row>
    <row r="216" spans="1:83" x14ac:dyDescent="0.4">
      <c r="A216" t="s">
        <v>1163</v>
      </c>
      <c r="B216" t="s">
        <v>19</v>
      </c>
      <c r="C216" t="s">
        <v>19</v>
      </c>
      <c r="D216" t="s">
        <v>19</v>
      </c>
      <c r="E216" t="s">
        <v>49</v>
      </c>
      <c r="F216" t="s">
        <v>22</v>
      </c>
      <c r="G216">
        <v>60</v>
      </c>
      <c r="H216">
        <v>70</v>
      </c>
      <c r="I216">
        <v>58.5</v>
      </c>
      <c r="J216">
        <f t="shared" si="70"/>
        <v>1.5</v>
      </c>
      <c r="K216">
        <f t="shared" si="71"/>
        <v>11.5</v>
      </c>
      <c r="L216">
        <v>-10</v>
      </c>
      <c r="M216">
        <v>58.69</v>
      </c>
      <c r="N216" t="s">
        <v>719</v>
      </c>
      <c r="O216" t="s">
        <v>720</v>
      </c>
      <c r="P216" t="s">
        <v>13</v>
      </c>
      <c r="Q216">
        <v>0.8</v>
      </c>
      <c r="R216" t="s">
        <v>26</v>
      </c>
      <c r="S216" t="s">
        <v>15</v>
      </c>
      <c r="T216" t="s">
        <v>17</v>
      </c>
      <c r="U216">
        <v>12.5</v>
      </c>
      <c r="V216" t="s">
        <v>17</v>
      </c>
      <c r="W216">
        <f>BC216/BB216</f>
        <v>1</v>
      </c>
      <c r="X216" t="s">
        <v>14</v>
      </c>
      <c r="Y216" t="s">
        <v>14</v>
      </c>
      <c r="Z216">
        <v>0</v>
      </c>
      <c r="AA216">
        <f t="shared" si="66"/>
        <v>4165.571616294349</v>
      </c>
      <c r="AB216">
        <f t="shared" si="67"/>
        <v>92.904073587385014</v>
      </c>
      <c r="AC216">
        <f t="shared" si="68"/>
        <v>31.800262812089354</v>
      </c>
      <c r="AD216" t="s">
        <v>15</v>
      </c>
      <c r="AE216" t="s">
        <v>27</v>
      </c>
      <c r="AF216" t="s">
        <v>24</v>
      </c>
      <c r="AG216" t="s">
        <v>14</v>
      </c>
      <c r="AH216" t="s">
        <v>14</v>
      </c>
      <c r="AI216" t="s">
        <v>18</v>
      </c>
      <c r="AJ216" t="s">
        <v>14</v>
      </c>
      <c r="AK216" t="s">
        <v>14</v>
      </c>
      <c r="AL216" t="s">
        <v>14</v>
      </c>
      <c r="AM216">
        <f t="shared" si="69"/>
        <v>34.229137199434227</v>
      </c>
      <c r="AN216">
        <f t="shared" si="72"/>
        <v>4377.3691654879776</v>
      </c>
      <c r="AO216">
        <f t="shared" si="73"/>
        <v>2631.6831683168316</v>
      </c>
      <c r="AP216">
        <f t="shared" si="74"/>
        <v>656.43564356435638</v>
      </c>
      <c r="AQ216">
        <f t="shared" si="75"/>
        <v>792.0792079207921</v>
      </c>
      <c r="AR216">
        <f t="shared" si="76"/>
        <v>1089.2503536067893</v>
      </c>
      <c r="AS216">
        <f t="shared" si="77"/>
        <v>4.0735873850197111</v>
      </c>
      <c r="AT216">
        <f t="shared" si="78"/>
        <v>61.103810775295671</v>
      </c>
      <c r="AU216">
        <f t="shared" si="79"/>
        <v>7.9455861445004521</v>
      </c>
      <c r="AV216">
        <f t="shared" si="80"/>
        <v>18.09486881220111</v>
      </c>
      <c r="AW216">
        <f t="shared" si="81"/>
        <v>14.996122528111671</v>
      </c>
      <c r="AX216">
        <f t="shared" si="82"/>
        <v>24.883675843350137</v>
      </c>
      <c r="AY216">
        <f t="shared" si="83"/>
        <v>1355.5555555555554</v>
      </c>
      <c r="AZ216">
        <f t="shared" si="84"/>
        <v>347.80763790664781</v>
      </c>
      <c r="BA216">
        <f t="shared" si="85"/>
        <v>65.77086280056578</v>
      </c>
      <c r="BB216" t="s">
        <v>30</v>
      </c>
      <c r="BC216" t="s">
        <v>30</v>
      </c>
      <c r="BD216">
        <v>7.61</v>
      </c>
      <c r="BE216">
        <v>7.07</v>
      </c>
      <c r="BF216">
        <v>2.42</v>
      </c>
      <c r="BG216">
        <v>4.6500000000000004</v>
      </c>
      <c r="BH216">
        <v>0.31</v>
      </c>
      <c r="BI216">
        <v>31700</v>
      </c>
      <c r="BJ216">
        <v>18606</v>
      </c>
      <c r="BK216">
        <v>5600</v>
      </c>
      <c r="BL216">
        <v>1020</v>
      </c>
      <c r="BM216">
        <v>829</v>
      </c>
      <c r="BN216">
        <v>2459</v>
      </c>
      <c r="BO216">
        <v>333</v>
      </c>
      <c r="BP216">
        <v>1614</v>
      </c>
      <c r="BQ216">
        <v>487</v>
      </c>
      <c r="BR216">
        <v>732</v>
      </c>
      <c r="BS216" t="s">
        <v>21</v>
      </c>
      <c r="BT216" t="s">
        <v>331</v>
      </c>
      <c r="BU216">
        <v>0</v>
      </c>
      <c r="BV216">
        <v>0.1</v>
      </c>
      <c r="BW216">
        <v>0</v>
      </c>
      <c r="BX216">
        <v>1.1000000000000001</v>
      </c>
      <c r="BY216">
        <v>9.6999999999999993</v>
      </c>
      <c r="BZ216">
        <v>9.9</v>
      </c>
      <c r="CA216">
        <v>3</v>
      </c>
      <c r="CB216">
        <v>3</v>
      </c>
      <c r="CC216">
        <v>0</v>
      </c>
      <c r="CD216">
        <f t="shared" si="86"/>
        <v>2.0202020202020332E-2</v>
      </c>
      <c r="CE216">
        <v>1</v>
      </c>
    </row>
    <row r="217" spans="1:83" x14ac:dyDescent="0.4">
      <c r="A217" t="s">
        <v>1164</v>
      </c>
      <c r="B217" t="s">
        <v>34</v>
      </c>
      <c r="C217" t="s">
        <v>34</v>
      </c>
      <c r="D217" t="s">
        <v>34</v>
      </c>
      <c r="E217" t="s">
        <v>49</v>
      </c>
      <c r="F217" t="s">
        <v>32</v>
      </c>
      <c r="G217">
        <v>60</v>
      </c>
      <c r="H217">
        <v>50</v>
      </c>
      <c r="I217">
        <v>71</v>
      </c>
      <c r="J217">
        <f t="shared" si="70"/>
        <v>-11</v>
      </c>
      <c r="K217">
        <f t="shared" si="71"/>
        <v>-21</v>
      </c>
      <c r="L217">
        <v>10</v>
      </c>
      <c r="M217">
        <v>70.86</v>
      </c>
      <c r="N217" t="s">
        <v>722</v>
      </c>
      <c r="O217" t="s">
        <v>723</v>
      </c>
      <c r="P217" t="s">
        <v>13</v>
      </c>
      <c r="Q217">
        <v>6.9</v>
      </c>
      <c r="R217" t="s">
        <v>26</v>
      </c>
      <c r="S217" t="s">
        <v>27</v>
      </c>
      <c r="T217" t="s">
        <v>14</v>
      </c>
      <c r="U217">
        <v>0</v>
      </c>
      <c r="V217" t="s">
        <v>14</v>
      </c>
      <c r="W217">
        <v>0</v>
      </c>
      <c r="X217" t="s">
        <v>14</v>
      </c>
      <c r="Y217" t="s">
        <v>14</v>
      </c>
      <c r="Z217">
        <v>0</v>
      </c>
      <c r="AA217">
        <f t="shared" si="66"/>
        <v>266.27155172413796</v>
      </c>
      <c r="AB217">
        <f t="shared" si="67"/>
        <v>5.1724137931034484</v>
      </c>
      <c r="AC217">
        <f t="shared" si="68"/>
        <v>4.6875</v>
      </c>
      <c r="AD217" t="s">
        <v>36</v>
      </c>
      <c r="AE217" t="s">
        <v>15</v>
      </c>
      <c r="AF217" t="s">
        <v>18</v>
      </c>
      <c r="AG217" t="s">
        <v>14</v>
      </c>
      <c r="AH217" t="s">
        <v>14</v>
      </c>
      <c r="AI217" t="s">
        <v>14</v>
      </c>
      <c r="AJ217" t="s">
        <v>14</v>
      </c>
      <c r="AK217" t="s">
        <v>14</v>
      </c>
      <c r="AL217" t="s">
        <v>14</v>
      </c>
      <c r="AM217">
        <f t="shared" si="69"/>
        <v>90.625</v>
      </c>
      <c r="AN217">
        <f t="shared" si="72"/>
        <v>4702.0833333333339</v>
      </c>
      <c r="AO217">
        <f t="shared" si="73"/>
        <v>3647.916666666667</v>
      </c>
      <c r="AP217">
        <f t="shared" si="74"/>
        <v>984.375</v>
      </c>
      <c r="AQ217">
        <f t="shared" si="75"/>
        <v>31.25</v>
      </c>
      <c r="AR217">
        <f t="shared" si="76"/>
        <v>69.791666666666671</v>
      </c>
      <c r="AS217">
        <f t="shared" si="77"/>
        <v>75.05387931034484</v>
      </c>
      <c r="AT217">
        <f t="shared" si="78"/>
        <v>0.48491379310344829</v>
      </c>
      <c r="AU217">
        <f t="shared" si="79"/>
        <v>5.6933983163491364</v>
      </c>
      <c r="AV217">
        <f t="shared" si="80"/>
        <v>0.664599025254763</v>
      </c>
      <c r="AW217">
        <f t="shared" si="81"/>
        <v>20.934869295525033</v>
      </c>
      <c r="AX217">
        <f t="shared" si="82"/>
        <v>1.4842711564023039</v>
      </c>
      <c r="AY217">
        <f t="shared" si="83"/>
        <v>24.26136363636364</v>
      </c>
      <c r="AZ217">
        <f t="shared" si="84"/>
        <v>267.70833333333337</v>
      </c>
      <c r="BA217">
        <f t="shared" si="85"/>
        <v>9.375</v>
      </c>
      <c r="BB217" t="s">
        <v>33</v>
      </c>
      <c r="BC217" t="s">
        <v>33</v>
      </c>
      <c r="BD217">
        <v>18.559999999999999</v>
      </c>
      <c r="BE217">
        <v>0.96</v>
      </c>
      <c r="BF217">
        <v>0.87</v>
      </c>
      <c r="BG217">
        <v>0.09</v>
      </c>
      <c r="BH217">
        <v>13.93</v>
      </c>
      <c r="BI217">
        <v>4942</v>
      </c>
      <c r="BJ217">
        <v>3502</v>
      </c>
      <c r="BK217">
        <v>30</v>
      </c>
      <c r="BL217">
        <v>606</v>
      </c>
      <c r="BM217">
        <v>19</v>
      </c>
      <c r="BN217">
        <v>257</v>
      </c>
      <c r="BO217">
        <v>63</v>
      </c>
      <c r="BP217">
        <v>16</v>
      </c>
      <c r="BQ217">
        <v>21</v>
      </c>
      <c r="BR217">
        <v>427</v>
      </c>
      <c r="BS217" t="s">
        <v>44</v>
      </c>
      <c r="BT217" t="s">
        <v>721</v>
      </c>
      <c r="BU217">
        <v>11</v>
      </c>
      <c r="BV217">
        <v>0.3</v>
      </c>
      <c r="BW217">
        <v>0</v>
      </c>
      <c r="BX217">
        <v>0</v>
      </c>
      <c r="BY217">
        <v>32.200000000000003</v>
      </c>
      <c r="BZ217">
        <v>39.299999999999997</v>
      </c>
      <c r="CA217">
        <v>0</v>
      </c>
      <c r="CB217">
        <v>0</v>
      </c>
      <c r="CC217">
        <v>0</v>
      </c>
      <c r="CD217">
        <f t="shared" si="86"/>
        <v>0.18066157760814239</v>
      </c>
      <c r="CE217">
        <v>0</v>
      </c>
    </row>
    <row r="218" spans="1:83" x14ac:dyDescent="0.4">
      <c r="A218" t="s">
        <v>1165</v>
      </c>
      <c r="B218" t="s">
        <v>34</v>
      </c>
      <c r="C218" t="s">
        <v>34</v>
      </c>
      <c r="D218" t="s">
        <v>34</v>
      </c>
      <c r="E218" t="s">
        <v>49</v>
      </c>
      <c r="F218" t="s">
        <v>32</v>
      </c>
      <c r="G218">
        <v>70</v>
      </c>
      <c r="H218">
        <v>29</v>
      </c>
      <c r="I218">
        <v>60</v>
      </c>
      <c r="J218">
        <f t="shared" si="70"/>
        <v>10</v>
      </c>
      <c r="K218">
        <f t="shared" si="71"/>
        <v>-31</v>
      </c>
      <c r="L218">
        <v>41</v>
      </c>
      <c r="M218">
        <v>60.08</v>
      </c>
      <c r="N218" t="s">
        <v>724</v>
      </c>
      <c r="O218" t="s">
        <v>725</v>
      </c>
      <c r="P218" t="s">
        <v>13</v>
      </c>
      <c r="Q218">
        <v>0</v>
      </c>
      <c r="R218" t="s">
        <v>26</v>
      </c>
      <c r="S218" t="s">
        <v>15</v>
      </c>
      <c r="T218" t="s">
        <v>14</v>
      </c>
      <c r="U218">
        <v>2.5</v>
      </c>
      <c r="V218" t="s">
        <v>14</v>
      </c>
      <c r="W218">
        <v>0</v>
      </c>
      <c r="X218" t="s">
        <v>14</v>
      </c>
      <c r="Y218" t="s">
        <v>14</v>
      </c>
      <c r="Z218">
        <v>5</v>
      </c>
      <c r="AA218">
        <f t="shared" si="66"/>
        <v>283.39124391938844</v>
      </c>
      <c r="AB218">
        <f t="shared" si="67"/>
        <v>8.4781097984711593</v>
      </c>
      <c r="AC218">
        <f t="shared" si="68"/>
        <v>7.2272411396803333</v>
      </c>
      <c r="AD218" t="s">
        <v>15</v>
      </c>
      <c r="AE218" t="s">
        <v>15</v>
      </c>
      <c r="AF218" t="s">
        <v>18</v>
      </c>
      <c r="AG218" t="s">
        <v>14</v>
      </c>
      <c r="AH218" t="s">
        <v>14</v>
      </c>
      <c r="AI218" t="s">
        <v>14</v>
      </c>
      <c r="AJ218" t="s">
        <v>14</v>
      </c>
      <c r="AK218" t="s">
        <v>14</v>
      </c>
      <c r="AL218" t="s">
        <v>14</v>
      </c>
      <c r="AM218">
        <f t="shared" si="69"/>
        <v>85.245901639344268</v>
      </c>
      <c r="AN218">
        <f t="shared" si="72"/>
        <v>2436.8852459016393</v>
      </c>
      <c r="AO218">
        <f t="shared" si="73"/>
        <v>2008.1967213114754</v>
      </c>
      <c r="AP218">
        <f t="shared" si="74"/>
        <v>348.36065573770492</v>
      </c>
      <c r="AQ218">
        <f t="shared" si="75"/>
        <v>26.229508196721312</v>
      </c>
      <c r="AR218">
        <f t="shared" si="76"/>
        <v>80.327868852459019</v>
      </c>
      <c r="AS218">
        <f t="shared" si="77"/>
        <v>46.421125781792909</v>
      </c>
      <c r="AT218">
        <f t="shared" si="78"/>
        <v>1.2508686587908269</v>
      </c>
      <c r="AU218">
        <f t="shared" si="79"/>
        <v>3.2963336696939121</v>
      </c>
      <c r="AV218">
        <f t="shared" si="80"/>
        <v>1.0763538513286244</v>
      </c>
      <c r="AW218">
        <f t="shared" si="81"/>
        <v>14.295324587958291</v>
      </c>
      <c r="AX218">
        <f t="shared" si="82"/>
        <v>3.2963336696939121</v>
      </c>
      <c r="AY218">
        <f t="shared" si="83"/>
        <v>83.750949126803334</v>
      </c>
      <c r="AZ218">
        <f t="shared" si="84"/>
        <v>80.327868852459019</v>
      </c>
      <c r="BA218">
        <f t="shared" si="85"/>
        <v>14.754098360655737</v>
      </c>
      <c r="BB218" t="s">
        <v>33</v>
      </c>
      <c r="BC218" t="s">
        <v>33</v>
      </c>
      <c r="BD218">
        <v>14.39</v>
      </c>
      <c r="BE218">
        <v>1.22</v>
      </c>
      <c r="BF218">
        <v>1.04</v>
      </c>
      <c r="BG218">
        <v>0.18</v>
      </c>
      <c r="BH218">
        <v>6.68</v>
      </c>
      <c r="BI218">
        <v>4078</v>
      </c>
      <c r="BJ218">
        <v>2450</v>
      </c>
      <c r="BK218">
        <v>32</v>
      </c>
      <c r="BL218">
        <v>274</v>
      </c>
      <c r="BM218">
        <v>10</v>
      </c>
      <c r="BN218">
        <v>98</v>
      </c>
      <c r="BO218">
        <v>43</v>
      </c>
      <c r="BP218">
        <v>9</v>
      </c>
      <c r="BQ218">
        <v>57</v>
      </c>
      <c r="BR218">
        <v>1103</v>
      </c>
      <c r="BS218" t="s">
        <v>21</v>
      </c>
      <c r="BT218" t="s">
        <v>419</v>
      </c>
      <c r="BU218">
        <v>0</v>
      </c>
      <c r="BV218">
        <v>0</v>
      </c>
      <c r="BW218">
        <v>0</v>
      </c>
      <c r="BX218">
        <v>0</v>
      </c>
      <c r="BY218">
        <v>53.4</v>
      </c>
      <c r="BZ218">
        <v>53.4</v>
      </c>
      <c r="CA218">
        <v>0</v>
      </c>
      <c r="CB218">
        <v>0</v>
      </c>
      <c r="CC218">
        <v>0</v>
      </c>
      <c r="CD218">
        <f t="shared" si="86"/>
        <v>0</v>
      </c>
      <c r="CE218">
        <v>0</v>
      </c>
    </row>
    <row r="219" spans="1:83" x14ac:dyDescent="0.4">
      <c r="A219" t="s">
        <v>1166</v>
      </c>
      <c r="B219" t="s">
        <v>34</v>
      </c>
      <c r="C219" t="s">
        <v>34</v>
      </c>
      <c r="D219" t="s">
        <v>34</v>
      </c>
      <c r="E219" t="s">
        <v>49</v>
      </c>
      <c r="F219" t="s">
        <v>32</v>
      </c>
      <c r="G219">
        <v>20</v>
      </c>
      <c r="H219">
        <v>78</v>
      </c>
      <c r="I219">
        <v>23.5</v>
      </c>
      <c r="J219">
        <f t="shared" si="70"/>
        <v>-3.5</v>
      </c>
      <c r="K219">
        <f t="shared" si="71"/>
        <v>54.5</v>
      </c>
      <c r="L219">
        <v>-58</v>
      </c>
      <c r="M219">
        <v>23.72</v>
      </c>
      <c r="N219" t="s">
        <v>726</v>
      </c>
      <c r="O219" t="s">
        <v>727</v>
      </c>
      <c r="P219" t="s">
        <v>13</v>
      </c>
      <c r="Q219">
        <v>0</v>
      </c>
      <c r="R219" t="s">
        <v>13</v>
      </c>
      <c r="S219" t="s">
        <v>15</v>
      </c>
      <c r="T219" t="s">
        <v>14</v>
      </c>
      <c r="U219">
        <v>2.5</v>
      </c>
      <c r="V219" t="s">
        <v>14</v>
      </c>
      <c r="W219">
        <v>0</v>
      </c>
      <c r="X219" t="s">
        <v>14</v>
      </c>
      <c r="Y219" t="s">
        <v>14</v>
      </c>
      <c r="Z219">
        <v>0</v>
      </c>
      <c r="AA219">
        <f t="shared" si="66"/>
        <v>548.09805579036345</v>
      </c>
      <c r="AB219">
        <f t="shared" si="67"/>
        <v>6.5088757396449708</v>
      </c>
      <c r="AC219">
        <f t="shared" si="68"/>
        <v>5.0718512256973796</v>
      </c>
      <c r="AD219" t="s">
        <v>36</v>
      </c>
      <c r="AE219" t="s">
        <v>15</v>
      </c>
      <c r="AF219" t="s">
        <v>18</v>
      </c>
      <c r="AG219" t="s">
        <v>14</v>
      </c>
      <c r="AH219" t="s">
        <v>14</v>
      </c>
      <c r="AI219" t="s">
        <v>14</v>
      </c>
      <c r="AJ219" t="s">
        <v>14</v>
      </c>
      <c r="AK219" t="s">
        <v>14</v>
      </c>
      <c r="AL219" t="s">
        <v>14</v>
      </c>
      <c r="AM219">
        <f t="shared" si="69"/>
        <v>77.922077922077918</v>
      </c>
      <c r="AN219">
        <f t="shared" si="72"/>
        <v>6950.6493506493507</v>
      </c>
      <c r="AO219">
        <f t="shared" si="73"/>
        <v>1997.4025974025974</v>
      </c>
      <c r="AP219">
        <f t="shared" si="74"/>
        <v>4625.9740259740256</v>
      </c>
      <c r="AQ219">
        <f t="shared" si="75"/>
        <v>145.45454545454544</v>
      </c>
      <c r="AR219">
        <f t="shared" si="76"/>
        <v>327.27272727272725</v>
      </c>
      <c r="AS219">
        <f t="shared" si="77"/>
        <v>75.908706677937445</v>
      </c>
      <c r="AT219">
        <f t="shared" si="78"/>
        <v>1.4370245139475908</v>
      </c>
      <c r="AU219">
        <f t="shared" si="79"/>
        <v>47.926008968609864</v>
      </c>
      <c r="AV219">
        <f t="shared" si="80"/>
        <v>2.0926756352765321</v>
      </c>
      <c r="AW219">
        <f t="shared" si="81"/>
        <v>66.554559043348277</v>
      </c>
      <c r="AX219">
        <f t="shared" si="82"/>
        <v>4.7085201793721971</v>
      </c>
      <c r="AY219">
        <f t="shared" si="83"/>
        <v>101.89873417721519</v>
      </c>
      <c r="AZ219">
        <f t="shared" si="84"/>
        <v>3331.1688311688313</v>
      </c>
      <c r="BA219">
        <f t="shared" si="85"/>
        <v>22.077922077922079</v>
      </c>
      <c r="BB219" t="s">
        <v>33</v>
      </c>
      <c r="BC219" t="s">
        <v>33</v>
      </c>
      <c r="BD219">
        <v>11.83</v>
      </c>
      <c r="BE219">
        <v>0.77</v>
      </c>
      <c r="BF219">
        <v>0.6</v>
      </c>
      <c r="BG219">
        <v>0.17</v>
      </c>
      <c r="BH219">
        <v>8.98</v>
      </c>
      <c r="BI219">
        <v>6484</v>
      </c>
      <c r="BJ219">
        <v>1538</v>
      </c>
      <c r="BK219">
        <v>112</v>
      </c>
      <c r="BL219">
        <v>889</v>
      </c>
      <c r="BM219">
        <v>88</v>
      </c>
      <c r="BN219">
        <v>2565</v>
      </c>
      <c r="BO219">
        <v>20</v>
      </c>
      <c r="BP219">
        <v>45</v>
      </c>
      <c r="BQ219">
        <v>95</v>
      </c>
      <c r="BR219">
        <v>1127</v>
      </c>
      <c r="BS219" t="s">
        <v>21</v>
      </c>
      <c r="BT219" t="s">
        <v>134</v>
      </c>
      <c r="BU219">
        <v>0</v>
      </c>
      <c r="BV219">
        <v>0</v>
      </c>
      <c r="BW219">
        <v>0</v>
      </c>
      <c r="BX219">
        <v>0</v>
      </c>
      <c r="BY219">
        <v>24.1</v>
      </c>
      <c r="BZ219">
        <v>24.2</v>
      </c>
      <c r="CA219">
        <v>0</v>
      </c>
      <c r="CB219">
        <v>0</v>
      </c>
      <c r="CC219">
        <v>0</v>
      </c>
      <c r="CD219">
        <f t="shared" si="86"/>
        <v>4.1322314049585529E-3</v>
      </c>
      <c r="CE219">
        <v>0</v>
      </c>
    </row>
    <row r="220" spans="1:83" x14ac:dyDescent="0.4">
      <c r="A220" t="s">
        <v>1167</v>
      </c>
      <c r="B220" t="s">
        <v>64</v>
      </c>
      <c r="C220" t="s">
        <v>82</v>
      </c>
      <c r="D220" t="s">
        <v>82</v>
      </c>
      <c r="E220" t="s">
        <v>49</v>
      </c>
      <c r="F220" t="s">
        <v>32</v>
      </c>
      <c r="G220">
        <v>80</v>
      </c>
      <c r="H220">
        <v>69</v>
      </c>
      <c r="I220">
        <v>74.5</v>
      </c>
      <c r="J220">
        <f t="shared" si="70"/>
        <v>5.5</v>
      </c>
      <c r="K220">
        <f t="shared" si="71"/>
        <v>-5.5</v>
      </c>
      <c r="L220">
        <v>11</v>
      </c>
      <c r="M220">
        <v>74.48</v>
      </c>
      <c r="N220" t="s">
        <v>729</v>
      </c>
      <c r="O220" t="s">
        <v>730</v>
      </c>
      <c r="P220" t="s">
        <v>13</v>
      </c>
      <c r="Q220">
        <v>0.6</v>
      </c>
      <c r="R220" t="s">
        <v>13</v>
      </c>
      <c r="S220" t="s">
        <v>15</v>
      </c>
      <c r="T220" t="s">
        <v>14</v>
      </c>
      <c r="U220">
        <v>0</v>
      </c>
      <c r="V220" t="s">
        <v>14</v>
      </c>
      <c r="W220">
        <v>0</v>
      </c>
      <c r="X220" t="s">
        <v>14</v>
      </c>
      <c r="Y220" t="s">
        <v>14</v>
      </c>
      <c r="Z220">
        <v>0</v>
      </c>
      <c r="AA220">
        <f t="shared" si="66"/>
        <v>2363.4109201653255</v>
      </c>
      <c r="AB220">
        <f t="shared" si="67"/>
        <v>73.754622579943444</v>
      </c>
      <c r="AC220">
        <f t="shared" si="68"/>
        <v>72.079617141614094</v>
      </c>
      <c r="AD220" t="s">
        <v>37</v>
      </c>
      <c r="AE220" t="s">
        <v>15</v>
      </c>
      <c r="AF220" t="s">
        <v>18</v>
      </c>
      <c r="AG220" t="s">
        <v>14</v>
      </c>
      <c r="AH220" t="s">
        <v>14</v>
      </c>
      <c r="AI220" t="s">
        <v>14</v>
      </c>
      <c r="AJ220" t="s">
        <v>14</v>
      </c>
      <c r="AK220" t="s">
        <v>14</v>
      </c>
      <c r="AL220" t="s">
        <v>14</v>
      </c>
      <c r="AM220">
        <f t="shared" si="69"/>
        <v>97.728948532664802</v>
      </c>
      <c r="AN220">
        <f t="shared" si="72"/>
        <v>2654.8001769650491</v>
      </c>
      <c r="AO220">
        <f t="shared" si="73"/>
        <v>2386.786609644595</v>
      </c>
      <c r="AP220">
        <f t="shared" si="74"/>
        <v>100.25070048665388</v>
      </c>
      <c r="AQ220">
        <f t="shared" si="75"/>
        <v>7.2703141129626898</v>
      </c>
      <c r="AR220">
        <f t="shared" si="76"/>
        <v>167.76286683380033</v>
      </c>
      <c r="AS220">
        <f t="shared" si="77"/>
        <v>1.7620187078529477</v>
      </c>
      <c r="AT220">
        <f t="shared" si="78"/>
        <v>1.6750054383293453</v>
      </c>
      <c r="AU220">
        <f t="shared" si="79"/>
        <v>0.95654975502994077</v>
      </c>
      <c r="AV220">
        <f t="shared" si="80"/>
        <v>0.2738554176711735</v>
      </c>
      <c r="AW220">
        <f t="shared" si="81"/>
        <v>3.776205130484052</v>
      </c>
      <c r="AX220">
        <f t="shared" si="82"/>
        <v>6.3192276499538949</v>
      </c>
      <c r="AY220">
        <f t="shared" si="83"/>
        <v>1543.348528802321</v>
      </c>
      <c r="AZ220">
        <f t="shared" si="84"/>
        <v>25.394484589293615</v>
      </c>
      <c r="BA220">
        <f t="shared" si="85"/>
        <v>2.2710514673352011</v>
      </c>
      <c r="BB220" t="s">
        <v>33</v>
      </c>
      <c r="BC220" t="s">
        <v>33</v>
      </c>
      <c r="BD220">
        <v>91.94</v>
      </c>
      <c r="BE220">
        <v>67.81</v>
      </c>
      <c r="BF220">
        <v>66.27</v>
      </c>
      <c r="BG220">
        <v>1.54</v>
      </c>
      <c r="BH220">
        <v>1.62</v>
      </c>
      <c r="BI220">
        <v>217292</v>
      </c>
      <c r="BJ220">
        <v>161848</v>
      </c>
      <c r="BK220">
        <v>493</v>
      </c>
      <c r="BL220">
        <v>4343</v>
      </c>
      <c r="BM220">
        <v>182</v>
      </c>
      <c r="BN220">
        <v>1722</v>
      </c>
      <c r="BO220">
        <v>551</v>
      </c>
      <c r="BP220">
        <v>1485</v>
      </c>
      <c r="BQ220">
        <v>9398</v>
      </c>
      <c r="BR220">
        <v>37241</v>
      </c>
      <c r="BS220" t="s">
        <v>21</v>
      </c>
      <c r="BT220" t="s">
        <v>728</v>
      </c>
      <c r="BU220">
        <v>1.2</v>
      </c>
      <c r="BV220">
        <v>0</v>
      </c>
      <c r="BW220">
        <v>0</v>
      </c>
      <c r="BX220">
        <v>0</v>
      </c>
      <c r="BY220">
        <v>104.6</v>
      </c>
      <c r="BZ220">
        <v>106.5</v>
      </c>
      <c r="CA220">
        <v>0</v>
      </c>
      <c r="CB220">
        <v>0</v>
      </c>
      <c r="CC220">
        <v>0</v>
      </c>
      <c r="CD220">
        <f t="shared" si="86"/>
        <v>1.7840375586854473E-2</v>
      </c>
      <c r="CE220">
        <v>0</v>
      </c>
    </row>
    <row r="221" spans="1:83" x14ac:dyDescent="0.4">
      <c r="A221" t="s">
        <v>1168</v>
      </c>
      <c r="B221" t="s">
        <v>49</v>
      </c>
      <c r="C221" t="s">
        <v>73</v>
      </c>
      <c r="D221" t="s">
        <v>82</v>
      </c>
      <c r="E221" t="s">
        <v>49</v>
      </c>
      <c r="F221" t="s">
        <v>22</v>
      </c>
      <c r="G221">
        <v>50</v>
      </c>
      <c r="H221">
        <v>21</v>
      </c>
      <c r="I221">
        <v>16.5</v>
      </c>
      <c r="J221">
        <f t="shared" si="70"/>
        <v>33.5</v>
      </c>
      <c r="K221">
        <f t="shared" si="71"/>
        <v>4.5</v>
      </c>
      <c r="L221">
        <v>29</v>
      </c>
      <c r="M221">
        <v>16.670000000000002</v>
      </c>
      <c r="N221" t="s">
        <v>731</v>
      </c>
      <c r="O221" t="s">
        <v>732</v>
      </c>
      <c r="P221" t="s">
        <v>13</v>
      </c>
      <c r="Q221">
        <v>0.3</v>
      </c>
      <c r="R221" t="s">
        <v>13</v>
      </c>
      <c r="S221" t="s">
        <v>15</v>
      </c>
      <c r="T221" t="s">
        <v>14</v>
      </c>
      <c r="U221">
        <v>5</v>
      </c>
      <c r="V221" t="s">
        <v>14</v>
      </c>
      <c r="W221">
        <f>BC221/BB221</f>
        <v>1</v>
      </c>
      <c r="X221" t="s">
        <v>14</v>
      </c>
      <c r="Y221" t="s">
        <v>14</v>
      </c>
      <c r="Z221">
        <v>0</v>
      </c>
      <c r="AA221">
        <f t="shared" si="66"/>
        <v>4535.2910602910606</v>
      </c>
      <c r="AB221">
        <f t="shared" si="67"/>
        <v>71.465696465696467</v>
      </c>
      <c r="AC221">
        <f t="shared" si="68"/>
        <v>16.008316008316008</v>
      </c>
      <c r="AD221" t="s">
        <v>15</v>
      </c>
      <c r="AE221" t="s">
        <v>15</v>
      </c>
      <c r="AF221" t="s">
        <v>24</v>
      </c>
      <c r="AG221" t="s">
        <v>14</v>
      </c>
      <c r="AH221" t="s">
        <v>17</v>
      </c>
      <c r="AI221" t="s">
        <v>41</v>
      </c>
      <c r="AJ221" t="s">
        <v>14</v>
      </c>
      <c r="AK221" t="s">
        <v>17</v>
      </c>
      <c r="AL221" t="s">
        <v>14</v>
      </c>
      <c r="AM221">
        <f t="shared" si="69"/>
        <v>22.4</v>
      </c>
      <c r="AN221">
        <f t="shared" si="72"/>
        <v>4759.3454545454542</v>
      </c>
      <c r="AO221">
        <f t="shared" si="73"/>
        <v>1057.6727272727273</v>
      </c>
      <c r="AP221">
        <f t="shared" si="74"/>
        <v>2288</v>
      </c>
      <c r="AQ221">
        <f t="shared" si="75"/>
        <v>1248.4363636363637</v>
      </c>
      <c r="AR221">
        <f t="shared" si="76"/>
        <v>1413.6727272727273</v>
      </c>
      <c r="AS221">
        <f t="shared" si="77"/>
        <v>0.31185031185031187</v>
      </c>
      <c r="AT221">
        <f t="shared" si="78"/>
        <v>55.457380457380459</v>
      </c>
      <c r="AU221">
        <f t="shared" si="79"/>
        <v>28.795403493222903</v>
      </c>
      <c r="AV221">
        <f t="shared" si="80"/>
        <v>26.231261747222689</v>
      </c>
      <c r="AW221">
        <f t="shared" si="81"/>
        <v>48.073837502483151</v>
      </c>
      <c r="AX221">
        <f t="shared" si="82"/>
        <v>29.703091334178879</v>
      </c>
      <c r="AY221">
        <f t="shared" si="83"/>
        <v>3948.0874316939903</v>
      </c>
      <c r="AZ221">
        <f t="shared" si="84"/>
        <v>1370.4727272727273</v>
      </c>
      <c r="BA221">
        <f t="shared" si="85"/>
        <v>77.599999999999994</v>
      </c>
      <c r="BB221" t="s">
        <v>30</v>
      </c>
      <c r="BC221" t="s">
        <v>30</v>
      </c>
      <c r="BD221">
        <v>19.239999999999998</v>
      </c>
      <c r="BE221">
        <v>13.75</v>
      </c>
      <c r="BF221">
        <v>3.08</v>
      </c>
      <c r="BG221">
        <v>10.67</v>
      </c>
      <c r="BH221">
        <v>0.06</v>
      </c>
      <c r="BI221">
        <v>87259</v>
      </c>
      <c r="BJ221">
        <v>14543</v>
      </c>
      <c r="BK221">
        <v>17166</v>
      </c>
      <c r="BL221">
        <v>6331</v>
      </c>
      <c r="BM221">
        <v>3294</v>
      </c>
      <c r="BN221">
        <v>18844</v>
      </c>
      <c r="BO221">
        <v>2991</v>
      </c>
      <c r="BP221">
        <v>2030</v>
      </c>
      <c r="BQ221">
        <v>242</v>
      </c>
      <c r="BR221">
        <v>21675</v>
      </c>
      <c r="BS221" t="s">
        <v>21</v>
      </c>
      <c r="BT221" t="s">
        <v>670</v>
      </c>
      <c r="BU221">
        <v>0</v>
      </c>
      <c r="BV221">
        <v>0</v>
      </c>
      <c r="BW221">
        <v>0</v>
      </c>
      <c r="BX221">
        <v>0.5</v>
      </c>
      <c r="BY221">
        <v>19.600000000000001</v>
      </c>
      <c r="BZ221">
        <v>19.8</v>
      </c>
      <c r="CA221">
        <v>3</v>
      </c>
      <c r="CB221">
        <v>3</v>
      </c>
      <c r="CC221">
        <v>0</v>
      </c>
      <c r="CD221">
        <f t="shared" si="86"/>
        <v>1.0101010101010055E-2</v>
      </c>
      <c r="CE221">
        <v>1</v>
      </c>
    </row>
    <row r="222" spans="1:83" x14ac:dyDescent="0.4">
      <c r="A222" t="s">
        <v>1169</v>
      </c>
      <c r="B222" t="s">
        <v>49</v>
      </c>
      <c r="C222" t="s">
        <v>73</v>
      </c>
      <c r="D222" t="s">
        <v>82</v>
      </c>
      <c r="E222" t="s">
        <v>49</v>
      </c>
      <c r="F222" t="s">
        <v>12</v>
      </c>
      <c r="G222">
        <v>60</v>
      </c>
      <c r="H222">
        <v>44</v>
      </c>
      <c r="I222">
        <v>37.5</v>
      </c>
      <c r="J222">
        <f t="shared" si="70"/>
        <v>22.5</v>
      </c>
      <c r="K222">
        <f t="shared" si="71"/>
        <v>6.5</v>
      </c>
      <c r="L222">
        <v>16</v>
      </c>
      <c r="M222">
        <v>37.270000000000003</v>
      </c>
      <c r="N222" t="s">
        <v>734</v>
      </c>
      <c r="O222" t="s">
        <v>735</v>
      </c>
      <c r="P222" t="s">
        <v>13</v>
      </c>
      <c r="Q222">
        <v>0.9</v>
      </c>
      <c r="R222" t="s">
        <v>13</v>
      </c>
      <c r="S222" t="s">
        <v>35</v>
      </c>
      <c r="T222" t="s">
        <v>14</v>
      </c>
      <c r="U222">
        <v>0</v>
      </c>
      <c r="V222" t="s">
        <v>14</v>
      </c>
      <c r="W222">
        <f>BC222/BB222</f>
        <v>1</v>
      </c>
      <c r="X222" t="s">
        <v>14</v>
      </c>
      <c r="Y222" t="s">
        <v>14</v>
      </c>
      <c r="Z222">
        <v>0</v>
      </c>
      <c r="AA222">
        <f t="shared" si="66"/>
        <v>2960.9393203075592</v>
      </c>
      <c r="AB222">
        <f t="shared" si="67"/>
        <v>39.802949106280998</v>
      </c>
      <c r="AC222">
        <f t="shared" si="68"/>
        <v>16.216755983090902</v>
      </c>
      <c r="AD222" t="s">
        <v>15</v>
      </c>
      <c r="AE222" t="s">
        <v>36</v>
      </c>
      <c r="AF222" t="s">
        <v>18</v>
      </c>
      <c r="AG222" t="s">
        <v>14</v>
      </c>
      <c r="AH222" t="s">
        <v>17</v>
      </c>
      <c r="AI222" t="s">
        <v>24</v>
      </c>
      <c r="AJ222" t="s">
        <v>14</v>
      </c>
      <c r="AK222" t="s">
        <v>14</v>
      </c>
      <c r="AL222" t="s">
        <v>14</v>
      </c>
      <c r="AM222">
        <f t="shared" si="69"/>
        <v>40.742599096838937</v>
      </c>
      <c r="AN222">
        <f t="shared" si="72"/>
        <v>5910.1187489546746</v>
      </c>
      <c r="AO222">
        <f t="shared" si="73"/>
        <v>2772.4284997491218</v>
      </c>
      <c r="AP222">
        <f t="shared" si="74"/>
        <v>1798.1267770530189</v>
      </c>
      <c r="AQ222">
        <f t="shared" si="75"/>
        <v>1189.3878575012543</v>
      </c>
      <c r="AR222">
        <f t="shared" si="76"/>
        <v>1339.5634721525339</v>
      </c>
      <c r="AS222">
        <f t="shared" si="77"/>
        <v>46.699730386446099</v>
      </c>
      <c r="AT222">
        <f t="shared" si="78"/>
        <v>23.586193123190093</v>
      </c>
      <c r="AU222">
        <f t="shared" si="79"/>
        <v>13.924656022367744</v>
      </c>
      <c r="AV222">
        <f t="shared" si="80"/>
        <v>20.124601687768489</v>
      </c>
      <c r="AW222">
        <f t="shared" si="81"/>
        <v>30.424545655213009</v>
      </c>
      <c r="AX222">
        <f t="shared" si="82"/>
        <v>22.665593181007793</v>
      </c>
      <c r="AY222">
        <f t="shared" si="83"/>
        <v>1006.4252142659661</v>
      </c>
      <c r="AZ222">
        <f t="shared" si="84"/>
        <v>822.9637063054023</v>
      </c>
      <c r="BA222">
        <f t="shared" si="85"/>
        <v>59.257400903161063</v>
      </c>
      <c r="BB222" t="s">
        <v>16</v>
      </c>
      <c r="BC222" t="s">
        <v>16</v>
      </c>
      <c r="BD222">
        <v>300.43</v>
      </c>
      <c r="BE222">
        <v>119.58</v>
      </c>
      <c r="BF222">
        <v>48.72</v>
      </c>
      <c r="BG222">
        <v>70.86</v>
      </c>
      <c r="BH222">
        <v>140.30000000000001</v>
      </c>
      <c r="BI222">
        <v>889555</v>
      </c>
      <c r="BJ222">
        <v>331527</v>
      </c>
      <c r="BK222">
        <v>142227</v>
      </c>
      <c r="BL222">
        <v>35349</v>
      </c>
      <c r="BM222">
        <v>70839</v>
      </c>
      <c r="BN222">
        <v>98410</v>
      </c>
      <c r="BO222">
        <v>10422</v>
      </c>
      <c r="BP222">
        <v>14655</v>
      </c>
      <c r="BQ222">
        <v>3303</v>
      </c>
      <c r="BR222">
        <v>182012</v>
      </c>
      <c r="BS222" t="s">
        <v>21</v>
      </c>
      <c r="BT222" t="s">
        <v>733</v>
      </c>
      <c r="BU222">
        <v>0.1</v>
      </c>
      <c r="BV222">
        <v>0.2</v>
      </c>
      <c r="BW222">
        <v>0.1</v>
      </c>
      <c r="BX222">
        <v>0</v>
      </c>
      <c r="BY222">
        <v>304.2</v>
      </c>
      <c r="BZ222">
        <v>308.39999999999998</v>
      </c>
      <c r="CA222">
        <v>1</v>
      </c>
      <c r="CB222">
        <v>1</v>
      </c>
      <c r="CC222">
        <v>0</v>
      </c>
      <c r="CD222">
        <f t="shared" si="86"/>
        <v>1.3618677042801508E-2</v>
      </c>
      <c r="CE222">
        <v>1</v>
      </c>
    </row>
    <row r="223" spans="1:83" x14ac:dyDescent="0.4">
      <c r="A223" t="s">
        <v>1170</v>
      </c>
      <c r="B223" t="s">
        <v>34</v>
      </c>
      <c r="C223" t="s">
        <v>34</v>
      </c>
      <c r="D223" t="s">
        <v>34</v>
      </c>
      <c r="E223" t="s">
        <v>49</v>
      </c>
      <c r="F223" t="s">
        <v>32</v>
      </c>
      <c r="G223">
        <v>70</v>
      </c>
      <c r="H223">
        <v>42</v>
      </c>
      <c r="I223">
        <v>71</v>
      </c>
      <c r="J223">
        <f t="shared" si="70"/>
        <v>-1</v>
      </c>
      <c r="K223">
        <f t="shared" si="71"/>
        <v>-29</v>
      </c>
      <c r="L223">
        <v>28</v>
      </c>
      <c r="M223">
        <v>71.13</v>
      </c>
      <c r="N223" t="s">
        <v>737</v>
      </c>
      <c r="O223" t="s">
        <v>738</v>
      </c>
      <c r="P223" t="s">
        <v>13</v>
      </c>
      <c r="Q223">
        <v>0</v>
      </c>
      <c r="R223" t="s">
        <v>13</v>
      </c>
      <c r="S223" t="s">
        <v>15</v>
      </c>
      <c r="T223" t="s">
        <v>14</v>
      </c>
      <c r="U223">
        <v>2.5</v>
      </c>
      <c r="V223" t="s">
        <v>14</v>
      </c>
      <c r="W223">
        <v>0</v>
      </c>
      <c r="X223" t="s">
        <v>14</v>
      </c>
      <c r="Y223" t="s">
        <v>14</v>
      </c>
      <c r="Z223">
        <v>0</v>
      </c>
      <c r="AA223">
        <f t="shared" si="66"/>
        <v>1039.8569238630557</v>
      </c>
      <c r="AB223">
        <f t="shared" si="67"/>
        <v>23.300970873786405</v>
      </c>
      <c r="AC223">
        <f t="shared" si="68"/>
        <v>19.468574348492591</v>
      </c>
      <c r="AD223" t="s">
        <v>37</v>
      </c>
      <c r="AE223" t="s">
        <v>15</v>
      </c>
      <c r="AF223" t="s">
        <v>18</v>
      </c>
      <c r="AG223" t="s">
        <v>14</v>
      </c>
      <c r="AH223" t="s">
        <v>14</v>
      </c>
      <c r="AI223" t="s">
        <v>14</v>
      </c>
      <c r="AJ223" t="s">
        <v>14</v>
      </c>
      <c r="AK223" t="s">
        <v>14</v>
      </c>
      <c r="AL223" t="s">
        <v>14</v>
      </c>
      <c r="AM223">
        <f t="shared" si="69"/>
        <v>83.55263157894737</v>
      </c>
      <c r="AN223">
        <f t="shared" si="72"/>
        <v>4283.771929824562</v>
      </c>
      <c r="AO223">
        <f t="shared" si="73"/>
        <v>3174.3421052631584</v>
      </c>
      <c r="AP223">
        <f t="shared" si="74"/>
        <v>917.76315789473688</v>
      </c>
      <c r="AQ223">
        <f t="shared" si="75"/>
        <v>122.36842105263159</v>
      </c>
      <c r="AR223">
        <f t="shared" si="76"/>
        <v>191.66666666666669</v>
      </c>
      <c r="AS223">
        <f t="shared" si="77"/>
        <v>64.537557485947872</v>
      </c>
      <c r="AT223">
        <f t="shared" si="78"/>
        <v>3.832396525293817</v>
      </c>
      <c r="AU223">
        <f t="shared" si="79"/>
        <v>12.987611344322719</v>
      </c>
      <c r="AV223">
        <f t="shared" si="80"/>
        <v>2.85655779666223</v>
      </c>
      <c r="AW223">
        <f t="shared" si="81"/>
        <v>21.424183474966725</v>
      </c>
      <c r="AX223">
        <f t="shared" si="82"/>
        <v>4.4742500255963957</v>
      </c>
      <c r="AY223">
        <f t="shared" si="83"/>
        <v>53.564290473017984</v>
      </c>
      <c r="AZ223">
        <f t="shared" si="84"/>
        <v>556.35964912280701</v>
      </c>
      <c r="BA223">
        <f t="shared" si="85"/>
        <v>16.447368421052634</v>
      </c>
      <c r="BB223" t="s">
        <v>33</v>
      </c>
      <c r="BC223" t="s">
        <v>33</v>
      </c>
      <c r="BD223">
        <v>19.57</v>
      </c>
      <c r="BE223">
        <v>4.5599999999999996</v>
      </c>
      <c r="BF223">
        <v>3.81</v>
      </c>
      <c r="BG223">
        <v>0.75</v>
      </c>
      <c r="BH223">
        <v>12.63</v>
      </c>
      <c r="BI223">
        <v>20350</v>
      </c>
      <c r="BJ223">
        <v>14475</v>
      </c>
      <c r="BK223">
        <v>558</v>
      </c>
      <c r="BL223">
        <v>1154</v>
      </c>
      <c r="BM223">
        <v>176</v>
      </c>
      <c r="BN223">
        <v>2537</v>
      </c>
      <c r="BO223">
        <v>318</v>
      </c>
      <c r="BP223">
        <v>167</v>
      </c>
      <c r="BQ223">
        <v>149</v>
      </c>
      <c r="BR223">
        <v>804</v>
      </c>
      <c r="BS223" t="s">
        <v>21</v>
      </c>
      <c r="BT223" t="s">
        <v>736</v>
      </c>
      <c r="BU223">
        <v>0</v>
      </c>
      <c r="BV223">
        <v>0</v>
      </c>
      <c r="BW223">
        <v>0</v>
      </c>
      <c r="BX223">
        <v>0.2</v>
      </c>
      <c r="BY223">
        <v>32.4</v>
      </c>
      <c r="BZ223">
        <v>32.4</v>
      </c>
      <c r="CA223">
        <v>0</v>
      </c>
      <c r="CB223">
        <v>0</v>
      </c>
      <c r="CC223">
        <v>0</v>
      </c>
      <c r="CD223">
        <f t="shared" si="86"/>
        <v>0</v>
      </c>
      <c r="CE223">
        <v>0</v>
      </c>
    </row>
    <row r="224" spans="1:83" x14ac:dyDescent="0.4">
      <c r="A224" t="s">
        <v>1171</v>
      </c>
      <c r="B224" t="s">
        <v>34</v>
      </c>
      <c r="C224" t="s">
        <v>34</v>
      </c>
      <c r="D224" t="s">
        <v>34</v>
      </c>
      <c r="E224" t="s">
        <v>49</v>
      </c>
      <c r="F224" t="s">
        <v>12</v>
      </c>
      <c r="G224">
        <v>50</v>
      </c>
      <c r="H224">
        <v>29</v>
      </c>
      <c r="I224">
        <v>35.5</v>
      </c>
      <c r="J224">
        <f t="shared" si="70"/>
        <v>14.5</v>
      </c>
      <c r="K224">
        <f t="shared" si="71"/>
        <v>-6.5</v>
      </c>
      <c r="L224">
        <v>21</v>
      </c>
      <c r="M224">
        <v>35.35</v>
      </c>
      <c r="N224" t="s">
        <v>739</v>
      </c>
      <c r="O224" t="s">
        <v>740</v>
      </c>
      <c r="P224" t="s">
        <v>13</v>
      </c>
      <c r="Q224">
        <v>0.2</v>
      </c>
      <c r="R224" t="s">
        <v>13</v>
      </c>
      <c r="S224" t="s">
        <v>15</v>
      </c>
      <c r="T224" t="s">
        <v>14</v>
      </c>
      <c r="U224">
        <v>0</v>
      </c>
      <c r="V224" t="s">
        <v>14</v>
      </c>
      <c r="W224">
        <f>BC224/BB224</f>
        <v>1</v>
      </c>
      <c r="X224" t="s">
        <v>14</v>
      </c>
      <c r="Y224" t="s">
        <v>14</v>
      </c>
      <c r="Z224">
        <v>0</v>
      </c>
      <c r="AA224">
        <f t="shared" si="66"/>
        <v>4004.3233082706765</v>
      </c>
      <c r="AB224">
        <f t="shared" si="67"/>
        <v>71.913335971507721</v>
      </c>
      <c r="AC224">
        <f t="shared" si="68"/>
        <v>45.360110803324098</v>
      </c>
      <c r="AD224" t="s">
        <v>15</v>
      </c>
      <c r="AE224" t="s">
        <v>27</v>
      </c>
      <c r="AF224" t="s">
        <v>18</v>
      </c>
      <c r="AG224" t="s">
        <v>14</v>
      </c>
      <c r="AH224" t="s">
        <v>17</v>
      </c>
      <c r="AI224" t="s">
        <v>24</v>
      </c>
      <c r="AJ224" t="s">
        <v>14</v>
      </c>
      <c r="AK224" t="s">
        <v>17</v>
      </c>
      <c r="AL224" t="s">
        <v>14</v>
      </c>
      <c r="AM224">
        <f t="shared" si="69"/>
        <v>63.076076489200716</v>
      </c>
      <c r="AN224">
        <f t="shared" si="72"/>
        <v>4775.9939468977855</v>
      </c>
      <c r="AO224">
        <f t="shared" si="73"/>
        <v>1968.2212133718531</v>
      </c>
      <c r="AP224">
        <f t="shared" si="74"/>
        <v>2183.4640253129728</v>
      </c>
      <c r="AQ224">
        <f t="shared" si="75"/>
        <v>478.14004677397168</v>
      </c>
      <c r="AR224">
        <f t="shared" si="76"/>
        <v>624.30870821295912</v>
      </c>
      <c r="AS224">
        <f t="shared" si="77"/>
        <v>2.6315789473684212</v>
      </c>
      <c r="AT224">
        <f t="shared" si="78"/>
        <v>26.543332014246143</v>
      </c>
      <c r="AU224">
        <f t="shared" si="79"/>
        <v>33.540342256032396</v>
      </c>
      <c r="AV224">
        <f t="shared" si="80"/>
        <v>10.011320200364667</v>
      </c>
      <c r="AW224">
        <f t="shared" si="81"/>
        <v>45.717478907845503</v>
      </c>
      <c r="AX224">
        <f t="shared" si="82"/>
        <v>13.071806940175765</v>
      </c>
      <c r="AY224">
        <f t="shared" si="83"/>
        <v>2018.5276505811905</v>
      </c>
      <c r="AZ224">
        <f t="shared" si="84"/>
        <v>1601.8847159169075</v>
      </c>
      <c r="BA224">
        <f t="shared" si="85"/>
        <v>36.910166460310911</v>
      </c>
      <c r="BB224" t="s">
        <v>31</v>
      </c>
      <c r="BC224" t="s">
        <v>31</v>
      </c>
      <c r="BD224">
        <v>101.08</v>
      </c>
      <c r="BE224">
        <v>72.69</v>
      </c>
      <c r="BF224">
        <v>45.85</v>
      </c>
      <c r="BG224">
        <v>26.83</v>
      </c>
      <c r="BH224">
        <v>2.66</v>
      </c>
      <c r="BI224">
        <v>404757</v>
      </c>
      <c r="BJ224">
        <v>143070</v>
      </c>
      <c r="BK224">
        <v>34756</v>
      </c>
      <c r="BL224">
        <v>28115</v>
      </c>
      <c r="BM224">
        <v>10071</v>
      </c>
      <c r="BN224">
        <v>116441</v>
      </c>
      <c r="BO224">
        <v>4089</v>
      </c>
      <c r="BP224">
        <v>9560</v>
      </c>
      <c r="BQ224">
        <v>1065</v>
      </c>
      <c r="BR224">
        <v>57306</v>
      </c>
      <c r="BS224" t="s">
        <v>21</v>
      </c>
      <c r="BT224" t="s">
        <v>588</v>
      </c>
      <c r="BU224">
        <v>0</v>
      </c>
      <c r="BV224">
        <v>0.1</v>
      </c>
      <c r="BW224">
        <v>0</v>
      </c>
      <c r="BX224">
        <v>0</v>
      </c>
      <c r="BY224">
        <v>110.6</v>
      </c>
      <c r="BZ224">
        <v>110.9</v>
      </c>
      <c r="CA224">
        <v>2</v>
      </c>
      <c r="CB224">
        <v>2</v>
      </c>
      <c r="CC224">
        <v>0</v>
      </c>
      <c r="CD224">
        <f t="shared" si="86"/>
        <v>2.7051397655546428E-3</v>
      </c>
      <c r="CE224">
        <v>1</v>
      </c>
    </row>
    <row r="225" spans="1:83" x14ac:dyDescent="0.4">
      <c r="A225" t="s">
        <v>1172</v>
      </c>
      <c r="B225" t="s">
        <v>49</v>
      </c>
      <c r="C225" t="s">
        <v>73</v>
      </c>
      <c r="D225" t="s">
        <v>82</v>
      </c>
      <c r="E225" t="s">
        <v>49</v>
      </c>
      <c r="F225" t="s">
        <v>22</v>
      </c>
      <c r="G225">
        <v>60</v>
      </c>
      <c r="H225">
        <v>64</v>
      </c>
      <c r="I225">
        <v>53.5</v>
      </c>
      <c r="J225">
        <f t="shared" si="70"/>
        <v>6.5</v>
      </c>
      <c r="K225">
        <f t="shared" si="71"/>
        <v>10.5</v>
      </c>
      <c r="L225">
        <v>-4</v>
      </c>
      <c r="M225">
        <v>53.7</v>
      </c>
      <c r="N225" t="s">
        <v>741</v>
      </c>
      <c r="O225" t="s">
        <v>742</v>
      </c>
      <c r="P225" t="s">
        <v>13</v>
      </c>
      <c r="Q225">
        <v>1</v>
      </c>
      <c r="R225" t="s">
        <v>26</v>
      </c>
      <c r="S225" t="s">
        <v>15</v>
      </c>
      <c r="T225" t="s">
        <v>14</v>
      </c>
      <c r="U225">
        <v>20</v>
      </c>
      <c r="V225" t="s">
        <v>17</v>
      </c>
      <c r="W225">
        <f>BC225/BB225</f>
        <v>0.6</v>
      </c>
      <c r="X225" t="s">
        <v>14</v>
      </c>
      <c r="Y225" t="s">
        <v>14</v>
      </c>
      <c r="Z225">
        <v>10</v>
      </c>
      <c r="AA225">
        <f t="shared" si="66"/>
        <v>3681.4558058925481</v>
      </c>
      <c r="AB225">
        <f t="shared" si="67"/>
        <v>47.313691507798964</v>
      </c>
      <c r="AC225">
        <f t="shared" si="68"/>
        <v>28.07625649913345</v>
      </c>
      <c r="AD225" t="s">
        <v>36</v>
      </c>
      <c r="AE225" t="s">
        <v>15</v>
      </c>
      <c r="AF225" t="s">
        <v>18</v>
      </c>
      <c r="AG225" t="s">
        <v>14</v>
      </c>
      <c r="AH225" t="s">
        <v>14</v>
      </c>
      <c r="AI225" t="s">
        <v>18</v>
      </c>
      <c r="AJ225" t="s">
        <v>14</v>
      </c>
      <c r="AK225" t="s">
        <v>14</v>
      </c>
      <c r="AL225" t="s">
        <v>14</v>
      </c>
      <c r="AM225">
        <f t="shared" si="69"/>
        <v>59.340659340659343</v>
      </c>
      <c r="AN225">
        <f t="shared" si="72"/>
        <v>6363.7362637362639</v>
      </c>
      <c r="AO225">
        <f t="shared" si="73"/>
        <v>4178.7545787545787</v>
      </c>
      <c r="AP225">
        <f t="shared" si="74"/>
        <v>845.78754578754581</v>
      </c>
      <c r="AQ225">
        <f t="shared" si="75"/>
        <v>961.53846153846155</v>
      </c>
      <c r="AR225">
        <f t="shared" si="76"/>
        <v>1339.1941391941391</v>
      </c>
      <c r="AS225">
        <f t="shared" si="77"/>
        <v>18.024263431542462</v>
      </c>
      <c r="AT225">
        <f t="shared" si="78"/>
        <v>19.410745233968807</v>
      </c>
      <c r="AU225">
        <f t="shared" si="79"/>
        <v>7.9260922120531863</v>
      </c>
      <c r="AV225">
        <f t="shared" si="80"/>
        <v>15.109652909687446</v>
      </c>
      <c r="AW225">
        <f t="shared" si="81"/>
        <v>13.290738502273642</v>
      </c>
      <c r="AX225">
        <f t="shared" si="82"/>
        <v>21.044148966787542</v>
      </c>
      <c r="AY225">
        <f t="shared" si="83"/>
        <v>1266.4473684210527</v>
      </c>
      <c r="AZ225">
        <f t="shared" si="84"/>
        <v>504.39560439560438</v>
      </c>
      <c r="BA225">
        <f t="shared" si="85"/>
        <v>41.025641025641029</v>
      </c>
      <c r="BB225" t="s">
        <v>39</v>
      </c>
      <c r="BC225" t="s">
        <v>40</v>
      </c>
      <c r="BD225">
        <v>5.77</v>
      </c>
      <c r="BE225">
        <v>2.73</v>
      </c>
      <c r="BF225">
        <v>1.62</v>
      </c>
      <c r="BG225">
        <v>1.1200000000000001</v>
      </c>
      <c r="BH225">
        <v>1.04</v>
      </c>
      <c r="BI225">
        <v>21242</v>
      </c>
      <c r="BJ225">
        <v>11408</v>
      </c>
      <c r="BK225">
        <v>2625</v>
      </c>
      <c r="BL225">
        <v>558</v>
      </c>
      <c r="BM225">
        <v>52</v>
      </c>
      <c r="BN225">
        <v>1377</v>
      </c>
      <c r="BO225">
        <v>322</v>
      </c>
      <c r="BP225">
        <v>667</v>
      </c>
      <c r="BQ225">
        <v>364</v>
      </c>
      <c r="BR225">
        <v>3850</v>
      </c>
      <c r="BS225" t="s">
        <v>21</v>
      </c>
      <c r="BT225" t="s">
        <v>377</v>
      </c>
      <c r="BU225">
        <v>0</v>
      </c>
      <c r="BV225">
        <v>2.5</v>
      </c>
      <c r="BW225">
        <v>0</v>
      </c>
      <c r="BX225">
        <v>9.9</v>
      </c>
      <c r="BY225">
        <v>8.3000000000000007</v>
      </c>
      <c r="BZ225">
        <v>9.6</v>
      </c>
      <c r="CA225">
        <v>10</v>
      </c>
      <c r="CB225">
        <v>6</v>
      </c>
      <c r="CC225">
        <v>0</v>
      </c>
      <c r="CD225">
        <f t="shared" si="86"/>
        <v>0.13541666666666652</v>
      </c>
      <c r="CE225">
        <v>0.6</v>
      </c>
    </row>
    <row r="226" spans="1:83" x14ac:dyDescent="0.4">
      <c r="A226" t="s">
        <v>1173</v>
      </c>
      <c r="B226" t="s">
        <v>25</v>
      </c>
      <c r="C226" t="s">
        <v>82</v>
      </c>
      <c r="D226" t="s">
        <v>82</v>
      </c>
      <c r="E226" t="s">
        <v>49</v>
      </c>
      <c r="F226" t="s">
        <v>32</v>
      </c>
      <c r="G226">
        <v>40</v>
      </c>
      <c r="H226">
        <v>31</v>
      </c>
      <c r="I226">
        <v>11.5</v>
      </c>
      <c r="J226">
        <f t="shared" si="70"/>
        <v>28.5</v>
      </c>
      <c r="K226">
        <f t="shared" si="71"/>
        <v>19.5</v>
      </c>
      <c r="L226">
        <v>9</v>
      </c>
      <c r="M226">
        <v>11.53</v>
      </c>
      <c r="N226" t="s">
        <v>743</v>
      </c>
      <c r="O226" t="s">
        <v>744</v>
      </c>
      <c r="P226" t="s">
        <v>13</v>
      </c>
      <c r="Q226">
        <v>0.1</v>
      </c>
      <c r="R226" t="s">
        <v>26</v>
      </c>
      <c r="S226" t="s">
        <v>15</v>
      </c>
      <c r="T226" t="s">
        <v>14</v>
      </c>
      <c r="U226">
        <v>2.5</v>
      </c>
      <c r="V226" t="s">
        <v>14</v>
      </c>
      <c r="W226">
        <v>0</v>
      </c>
      <c r="X226" t="s">
        <v>14</v>
      </c>
      <c r="Y226" t="s">
        <v>14</v>
      </c>
      <c r="Z226">
        <v>20</v>
      </c>
      <c r="AA226">
        <f t="shared" si="66"/>
        <v>84.042553191489347</v>
      </c>
      <c r="AB226">
        <f t="shared" si="67"/>
        <v>0.82742316784869974</v>
      </c>
      <c r="AC226">
        <f t="shared" si="68"/>
        <v>0.82742316784869974</v>
      </c>
      <c r="AD226" t="s">
        <v>36</v>
      </c>
      <c r="AE226" t="s">
        <v>15</v>
      </c>
      <c r="AF226" t="s">
        <v>18</v>
      </c>
      <c r="AG226" t="s">
        <v>14</v>
      </c>
      <c r="AH226" t="s">
        <v>14</v>
      </c>
      <c r="AI226" t="s">
        <v>14</v>
      </c>
      <c r="AJ226" t="s">
        <v>14</v>
      </c>
      <c r="AK226" t="s">
        <v>14</v>
      </c>
      <c r="AL226" t="s">
        <v>14</v>
      </c>
      <c r="AM226">
        <f t="shared" si="69"/>
        <v>100</v>
      </c>
      <c r="AN226">
        <f t="shared" si="72"/>
        <v>5828.5714285714284</v>
      </c>
      <c r="AO226">
        <f t="shared" si="73"/>
        <v>1171.4285714285713</v>
      </c>
      <c r="AP226">
        <f t="shared" si="74"/>
        <v>3257.1428571428569</v>
      </c>
      <c r="AQ226">
        <f t="shared" si="75"/>
        <v>171.42857142857142</v>
      </c>
      <c r="AR226">
        <f t="shared" si="76"/>
        <v>1399.9999999999998</v>
      </c>
      <c r="AS226">
        <f t="shared" si="77"/>
        <v>93.144208037825052</v>
      </c>
      <c r="AT226">
        <f t="shared" si="78"/>
        <v>0</v>
      </c>
      <c r="AU226">
        <f t="shared" si="79"/>
        <v>11.029411764705882</v>
      </c>
      <c r="AV226">
        <f t="shared" si="80"/>
        <v>2.9411764705882355</v>
      </c>
      <c r="AW226">
        <f t="shared" si="81"/>
        <v>55.882352941176471</v>
      </c>
      <c r="AX226">
        <f t="shared" si="82"/>
        <v>24.019607843137255</v>
      </c>
      <c r="AY226">
        <f t="shared" si="83"/>
        <v>36.11442193087008</v>
      </c>
      <c r="AZ226">
        <f t="shared" si="84"/>
        <v>642.85714285714278</v>
      </c>
      <c r="BA226">
        <f t="shared" si="85"/>
        <v>0</v>
      </c>
      <c r="BB226" t="s">
        <v>33</v>
      </c>
      <c r="BC226" t="s">
        <v>33</v>
      </c>
      <c r="BD226">
        <v>8.4600000000000009</v>
      </c>
      <c r="BE226">
        <v>7.0000000000000007E-2</v>
      </c>
      <c r="BF226">
        <v>7.0000000000000007E-2</v>
      </c>
      <c r="BG226">
        <v>0</v>
      </c>
      <c r="BH226">
        <v>7.88</v>
      </c>
      <c r="BI226">
        <v>711</v>
      </c>
      <c r="BJ226">
        <v>82</v>
      </c>
      <c r="BK226">
        <v>12</v>
      </c>
      <c r="BL226">
        <v>115</v>
      </c>
      <c r="BM226">
        <v>7</v>
      </c>
      <c r="BN226">
        <v>45</v>
      </c>
      <c r="BO226">
        <v>61</v>
      </c>
      <c r="BP226">
        <v>11</v>
      </c>
      <c r="BQ226">
        <v>75</v>
      </c>
      <c r="BR226">
        <v>303</v>
      </c>
      <c r="BS226" t="s">
        <v>44</v>
      </c>
      <c r="BT226" t="s">
        <v>187</v>
      </c>
      <c r="BU226">
        <v>0</v>
      </c>
      <c r="BV226">
        <v>0</v>
      </c>
      <c r="BW226">
        <v>1.3</v>
      </c>
      <c r="BX226">
        <v>0</v>
      </c>
      <c r="BY226">
        <v>25.8</v>
      </c>
      <c r="BZ226">
        <v>26.1</v>
      </c>
      <c r="CA226">
        <v>0</v>
      </c>
      <c r="CB226">
        <v>0</v>
      </c>
      <c r="CC226">
        <v>0</v>
      </c>
      <c r="CD226">
        <f t="shared" si="86"/>
        <v>1.1494252873563204E-2</v>
      </c>
      <c r="CE226">
        <v>0</v>
      </c>
    </row>
    <row r="227" spans="1:83" x14ac:dyDescent="0.4">
      <c r="A227" t="s">
        <v>1174</v>
      </c>
      <c r="B227" t="s">
        <v>49</v>
      </c>
      <c r="C227" t="s">
        <v>73</v>
      </c>
      <c r="D227" t="s">
        <v>82</v>
      </c>
      <c r="E227" t="s">
        <v>49</v>
      </c>
      <c r="F227" t="s">
        <v>12</v>
      </c>
      <c r="G227">
        <v>70</v>
      </c>
      <c r="H227">
        <v>35</v>
      </c>
      <c r="I227">
        <v>52</v>
      </c>
      <c r="J227">
        <f t="shared" si="70"/>
        <v>18</v>
      </c>
      <c r="K227">
        <f t="shared" si="71"/>
        <v>-17</v>
      </c>
      <c r="L227">
        <v>35</v>
      </c>
      <c r="M227">
        <v>52.1</v>
      </c>
      <c r="N227" t="s">
        <v>745</v>
      </c>
      <c r="O227" t="s">
        <v>746</v>
      </c>
      <c r="P227" t="s">
        <v>13</v>
      </c>
      <c r="Q227">
        <v>5.7</v>
      </c>
      <c r="R227" t="s">
        <v>13</v>
      </c>
      <c r="S227" t="s">
        <v>35</v>
      </c>
      <c r="T227" t="s">
        <v>17</v>
      </c>
      <c r="U227">
        <v>0</v>
      </c>
      <c r="V227" t="s">
        <v>14</v>
      </c>
      <c r="W227">
        <f>BC227/BB227</f>
        <v>1</v>
      </c>
      <c r="X227" t="s">
        <v>14</v>
      </c>
      <c r="Y227" t="s">
        <v>14</v>
      </c>
      <c r="Z227">
        <v>0</v>
      </c>
      <c r="AA227">
        <f t="shared" si="66"/>
        <v>8350.6681896059399</v>
      </c>
      <c r="AB227">
        <f t="shared" si="67"/>
        <v>74.186179326099378</v>
      </c>
      <c r="AC227">
        <f t="shared" si="68"/>
        <v>41.976013706453458</v>
      </c>
      <c r="AD227" t="s">
        <v>15</v>
      </c>
      <c r="AE227" t="s">
        <v>15</v>
      </c>
      <c r="AF227" t="s">
        <v>18</v>
      </c>
      <c r="AG227" t="s">
        <v>14</v>
      </c>
      <c r="AH227" t="s">
        <v>17</v>
      </c>
      <c r="AI227" t="s">
        <v>24</v>
      </c>
      <c r="AJ227" t="s">
        <v>14</v>
      </c>
      <c r="AK227" t="s">
        <v>14</v>
      </c>
      <c r="AL227" t="s">
        <v>17</v>
      </c>
      <c r="AM227">
        <f t="shared" si="69"/>
        <v>56.581986143187066</v>
      </c>
      <c r="AN227">
        <f t="shared" si="72"/>
        <v>9554.9961508852957</v>
      </c>
      <c r="AO227">
        <f t="shared" si="73"/>
        <v>5864.9576597382602</v>
      </c>
      <c r="AP227">
        <f t="shared" si="74"/>
        <v>2984.2494226327944</v>
      </c>
      <c r="AQ227">
        <f t="shared" si="75"/>
        <v>564.5111624326405</v>
      </c>
      <c r="AR227">
        <f t="shared" si="76"/>
        <v>705.78906851424165</v>
      </c>
      <c r="AS227">
        <f t="shared" si="77"/>
        <v>1.1993146773272416</v>
      </c>
      <c r="AT227">
        <f t="shared" si="78"/>
        <v>32.21016561964592</v>
      </c>
      <c r="AU227">
        <f t="shared" si="79"/>
        <v>25.030575397560735</v>
      </c>
      <c r="AV227">
        <f t="shared" si="80"/>
        <v>5.9080208251087258</v>
      </c>
      <c r="AW227">
        <f t="shared" si="81"/>
        <v>31.232345628483539</v>
      </c>
      <c r="AX227">
        <f t="shared" si="82"/>
        <v>7.3865970992447592</v>
      </c>
      <c r="AY227">
        <f t="shared" si="83"/>
        <v>4858.0088495575237</v>
      </c>
      <c r="AZ227">
        <f t="shared" si="84"/>
        <v>2391.6705157813703</v>
      </c>
      <c r="BA227">
        <f t="shared" si="85"/>
        <v>43.418013856812934</v>
      </c>
      <c r="BB227" t="s">
        <v>16</v>
      </c>
      <c r="BC227" t="s">
        <v>16</v>
      </c>
      <c r="BD227">
        <v>87.55</v>
      </c>
      <c r="BE227">
        <v>64.95</v>
      </c>
      <c r="BF227">
        <v>36.75</v>
      </c>
      <c r="BG227">
        <v>28.2</v>
      </c>
      <c r="BH227">
        <v>1.05</v>
      </c>
      <c r="BI227">
        <v>731101</v>
      </c>
      <c r="BJ227">
        <v>380929</v>
      </c>
      <c r="BK227">
        <v>36665</v>
      </c>
      <c r="BL227">
        <v>24911</v>
      </c>
      <c r="BM227">
        <v>7146</v>
      </c>
      <c r="BN227">
        <v>155339</v>
      </c>
      <c r="BO227">
        <v>6431</v>
      </c>
      <c r="BP227">
        <v>7891</v>
      </c>
      <c r="BQ227">
        <v>1285</v>
      </c>
      <c r="BR227">
        <v>109791</v>
      </c>
      <c r="BS227" t="s">
        <v>21</v>
      </c>
      <c r="BT227" t="s">
        <v>644</v>
      </c>
      <c r="BU227">
        <v>0</v>
      </c>
      <c r="BV227">
        <v>6.1</v>
      </c>
      <c r="BW227">
        <v>0</v>
      </c>
      <c r="BX227">
        <v>0.2</v>
      </c>
      <c r="BY227">
        <v>88.8</v>
      </c>
      <c r="BZ227">
        <v>100.9</v>
      </c>
      <c r="CA227">
        <v>1</v>
      </c>
      <c r="CB227">
        <v>1</v>
      </c>
      <c r="CC227">
        <v>0</v>
      </c>
      <c r="CD227">
        <f t="shared" si="86"/>
        <v>0.11992071357779988</v>
      </c>
      <c r="CE227">
        <v>1</v>
      </c>
    </row>
    <row r="228" spans="1:83" x14ac:dyDescent="0.4">
      <c r="A228" t="s">
        <v>1175</v>
      </c>
      <c r="B228" t="s">
        <v>49</v>
      </c>
      <c r="C228" t="s">
        <v>73</v>
      </c>
      <c r="D228" t="s">
        <v>82</v>
      </c>
      <c r="E228" t="s">
        <v>49</v>
      </c>
      <c r="F228" t="s">
        <v>22</v>
      </c>
      <c r="G228">
        <v>70</v>
      </c>
      <c r="H228">
        <v>95</v>
      </c>
      <c r="I228">
        <v>82</v>
      </c>
      <c r="J228">
        <f t="shared" si="70"/>
        <v>-12</v>
      </c>
      <c r="K228">
        <f t="shared" si="71"/>
        <v>13</v>
      </c>
      <c r="L228">
        <v>-25</v>
      </c>
      <c r="M228">
        <v>82.01</v>
      </c>
      <c r="N228" t="s">
        <v>747</v>
      </c>
      <c r="O228" t="s">
        <v>748</v>
      </c>
      <c r="P228" t="s">
        <v>13</v>
      </c>
      <c r="Q228">
        <v>5.3</v>
      </c>
      <c r="R228" t="s">
        <v>26</v>
      </c>
      <c r="S228" t="s">
        <v>15</v>
      </c>
      <c r="T228" t="s">
        <v>14</v>
      </c>
      <c r="U228">
        <v>7.5</v>
      </c>
      <c r="V228" t="s">
        <v>14</v>
      </c>
      <c r="W228" t="s">
        <v>52</v>
      </c>
      <c r="X228" t="s">
        <v>14</v>
      </c>
      <c r="Y228" t="s">
        <v>17</v>
      </c>
      <c r="Z228">
        <v>0</v>
      </c>
      <c r="AA228">
        <f t="shared" si="66"/>
        <v>8797.5747076656553</v>
      </c>
      <c r="AB228">
        <f t="shared" si="67"/>
        <v>80.164573408401921</v>
      </c>
      <c r="AC228">
        <f t="shared" si="68"/>
        <v>63.100909484625376</v>
      </c>
      <c r="AD228" t="s">
        <v>15</v>
      </c>
      <c r="AE228" t="s">
        <v>27</v>
      </c>
      <c r="AF228" t="s">
        <v>18</v>
      </c>
      <c r="AG228" t="s">
        <v>14</v>
      </c>
      <c r="AH228" t="s">
        <v>14</v>
      </c>
      <c r="AI228" t="s">
        <v>24</v>
      </c>
      <c r="AJ228" t="s">
        <v>14</v>
      </c>
      <c r="AK228" t="s">
        <v>14</v>
      </c>
      <c r="AL228" t="s">
        <v>14</v>
      </c>
      <c r="AM228">
        <f t="shared" si="69"/>
        <v>78.714208535926517</v>
      </c>
      <c r="AN228">
        <f t="shared" si="72"/>
        <v>10502.485143165855</v>
      </c>
      <c r="AO228">
        <f t="shared" si="73"/>
        <v>9000.4862236628833</v>
      </c>
      <c r="AP228">
        <f t="shared" si="74"/>
        <v>1177.8498109130198</v>
      </c>
      <c r="AQ228">
        <f t="shared" si="75"/>
        <v>223.39276066990814</v>
      </c>
      <c r="AR228">
        <f t="shared" si="76"/>
        <v>324.14910858995137</v>
      </c>
      <c r="AS228">
        <f t="shared" si="77"/>
        <v>9.4413165872672167</v>
      </c>
      <c r="AT228">
        <f t="shared" si="78"/>
        <v>17.020355132091815</v>
      </c>
      <c r="AU228">
        <f t="shared" si="79"/>
        <v>9.0740273969784102</v>
      </c>
      <c r="AV228">
        <f t="shared" si="80"/>
        <v>2.1270466715706196</v>
      </c>
      <c r="AW228">
        <f t="shared" si="81"/>
        <v>11.214962885993385</v>
      </c>
      <c r="AX228">
        <f t="shared" si="82"/>
        <v>3.0864038765232689</v>
      </c>
      <c r="AY228">
        <f t="shared" si="83"/>
        <v>1901.9650655021842</v>
      </c>
      <c r="AZ228">
        <f t="shared" si="84"/>
        <v>952.99837925445695</v>
      </c>
      <c r="BA228">
        <f t="shared" si="85"/>
        <v>21.231766612641813</v>
      </c>
      <c r="BB228" t="s">
        <v>52</v>
      </c>
      <c r="BC228" t="s">
        <v>52</v>
      </c>
      <c r="BD228">
        <v>23.09</v>
      </c>
      <c r="BE228">
        <v>18.510000000000002</v>
      </c>
      <c r="BF228">
        <v>14.57</v>
      </c>
      <c r="BG228">
        <v>3.93</v>
      </c>
      <c r="BH228">
        <v>2.1800000000000002</v>
      </c>
      <c r="BI228">
        <v>203136</v>
      </c>
      <c r="BJ228">
        <v>166599</v>
      </c>
      <c r="BK228">
        <v>4135</v>
      </c>
      <c r="BL228">
        <v>2080</v>
      </c>
      <c r="BM228">
        <v>1732</v>
      </c>
      <c r="BN228">
        <v>17640</v>
      </c>
      <c r="BO228">
        <v>350</v>
      </c>
      <c r="BP228">
        <v>1352</v>
      </c>
      <c r="BQ228">
        <v>513</v>
      </c>
      <c r="BR228">
        <v>8711</v>
      </c>
      <c r="BS228" t="s">
        <v>21</v>
      </c>
      <c r="BT228" t="s">
        <v>572</v>
      </c>
      <c r="BU228">
        <v>0.8</v>
      </c>
      <c r="BV228">
        <v>0.1</v>
      </c>
      <c r="BW228">
        <v>2.6</v>
      </c>
      <c r="BX228">
        <v>1.1000000000000001</v>
      </c>
      <c r="BY228">
        <v>115.3</v>
      </c>
      <c r="BZ228">
        <v>127.8</v>
      </c>
      <c r="CA228">
        <v>10</v>
      </c>
      <c r="CB228">
        <v>10</v>
      </c>
      <c r="CC228">
        <v>0</v>
      </c>
      <c r="CD228">
        <f t="shared" si="86"/>
        <v>9.7809076682316087E-2</v>
      </c>
      <c r="CE228">
        <v>1</v>
      </c>
    </row>
    <row r="229" spans="1:83" x14ac:dyDescent="0.4">
      <c r="A229" t="s">
        <v>1176</v>
      </c>
      <c r="B229" t="s">
        <v>49</v>
      </c>
      <c r="C229" t="s">
        <v>73</v>
      </c>
      <c r="D229" t="s">
        <v>82</v>
      </c>
      <c r="E229" t="s">
        <v>49</v>
      </c>
      <c r="F229" t="s">
        <v>22</v>
      </c>
      <c r="G229">
        <v>20</v>
      </c>
      <c r="H229">
        <v>51</v>
      </c>
      <c r="I229">
        <v>58.5</v>
      </c>
      <c r="J229">
        <f t="shared" si="70"/>
        <v>-38.5</v>
      </c>
      <c r="K229">
        <f t="shared" si="71"/>
        <v>-7.5</v>
      </c>
      <c r="L229">
        <v>-31</v>
      </c>
      <c r="M229">
        <v>58.59</v>
      </c>
      <c r="N229" t="s">
        <v>749</v>
      </c>
      <c r="O229" t="s">
        <v>750</v>
      </c>
      <c r="P229" t="s">
        <v>13</v>
      </c>
      <c r="Q229">
        <v>0.2</v>
      </c>
      <c r="R229" t="s">
        <v>13</v>
      </c>
      <c r="S229" t="s">
        <v>15</v>
      </c>
      <c r="T229" t="s">
        <v>14</v>
      </c>
      <c r="U229">
        <v>20</v>
      </c>
      <c r="V229" t="s">
        <v>17</v>
      </c>
      <c r="W229">
        <f>BC229/BB229</f>
        <v>0.90909090909090906</v>
      </c>
      <c r="X229" t="s">
        <v>14</v>
      </c>
      <c r="Y229" t="s">
        <v>17</v>
      </c>
      <c r="Z229">
        <v>10</v>
      </c>
      <c r="AA229">
        <f t="shared" si="66"/>
        <v>4649.8948843728103</v>
      </c>
      <c r="AB229">
        <f t="shared" si="67"/>
        <v>60.26629292221444</v>
      </c>
      <c r="AC229">
        <f t="shared" si="68"/>
        <v>36.580238262088301</v>
      </c>
      <c r="AD229" t="s">
        <v>37</v>
      </c>
      <c r="AE229" t="s">
        <v>37</v>
      </c>
      <c r="AF229" t="s">
        <v>18</v>
      </c>
      <c r="AG229" t="s">
        <v>14</v>
      </c>
      <c r="AH229" t="s">
        <v>14</v>
      </c>
      <c r="AI229" t="s">
        <v>14</v>
      </c>
      <c r="AJ229" t="s">
        <v>14</v>
      </c>
      <c r="AK229" t="s">
        <v>14</v>
      </c>
      <c r="AL229" t="s">
        <v>14</v>
      </c>
      <c r="AM229">
        <f t="shared" si="69"/>
        <v>60.697674418604656</v>
      </c>
      <c r="AN229">
        <f t="shared" si="72"/>
        <v>6408.8372093023263</v>
      </c>
      <c r="AO229">
        <f t="shared" si="73"/>
        <v>4520.9302325581393</v>
      </c>
      <c r="AP229">
        <f t="shared" si="74"/>
        <v>783.37209302325584</v>
      </c>
      <c r="AQ229">
        <f t="shared" si="75"/>
        <v>857.67441860465124</v>
      </c>
      <c r="AR229">
        <f t="shared" si="76"/>
        <v>1104.5348837209303</v>
      </c>
      <c r="AS229">
        <f t="shared" si="77"/>
        <v>10.021023125437981</v>
      </c>
      <c r="AT229">
        <f t="shared" si="78"/>
        <v>23.686054660126139</v>
      </c>
      <c r="AU229">
        <f t="shared" si="79"/>
        <v>5.2961027650772916</v>
      </c>
      <c r="AV229">
        <f t="shared" si="80"/>
        <v>13.382683794179549</v>
      </c>
      <c r="AW229">
        <f t="shared" si="81"/>
        <v>12.223310835329125</v>
      </c>
      <c r="AX229">
        <f t="shared" si="82"/>
        <v>17.234559837433775</v>
      </c>
      <c r="AY229">
        <f t="shared" si="83"/>
        <v>1970.1940035273369</v>
      </c>
      <c r="AZ229">
        <f t="shared" si="84"/>
        <v>339.41860465116281</v>
      </c>
      <c r="BA229">
        <f t="shared" si="85"/>
        <v>39.302325581395351</v>
      </c>
      <c r="BB229" t="s">
        <v>57</v>
      </c>
      <c r="BC229" t="s">
        <v>39</v>
      </c>
      <c r="BD229">
        <v>14.27</v>
      </c>
      <c r="BE229">
        <v>8.6</v>
      </c>
      <c r="BF229">
        <v>5.22</v>
      </c>
      <c r="BG229">
        <v>3.38</v>
      </c>
      <c r="BH229">
        <v>1.43</v>
      </c>
      <c r="BI229">
        <v>66354</v>
      </c>
      <c r="BJ229">
        <v>38880</v>
      </c>
      <c r="BK229">
        <v>7376</v>
      </c>
      <c r="BL229">
        <v>759</v>
      </c>
      <c r="BM229">
        <v>675</v>
      </c>
      <c r="BN229">
        <v>2919</v>
      </c>
      <c r="BO229">
        <v>2384</v>
      </c>
      <c r="BP229">
        <v>1551</v>
      </c>
      <c r="BQ229">
        <v>572</v>
      </c>
      <c r="BR229">
        <v>11171</v>
      </c>
      <c r="BS229" t="s">
        <v>21</v>
      </c>
      <c r="BT229" t="s">
        <v>297</v>
      </c>
      <c r="BU229">
        <v>0</v>
      </c>
      <c r="BV229">
        <v>0.2</v>
      </c>
      <c r="BW229">
        <v>9.4</v>
      </c>
      <c r="BX229">
        <v>6.9</v>
      </c>
      <c r="BY229">
        <v>18.2</v>
      </c>
      <c r="BZ229">
        <v>21.9</v>
      </c>
      <c r="CA229">
        <v>10</v>
      </c>
      <c r="CB229">
        <v>10</v>
      </c>
      <c r="CC229">
        <v>0</v>
      </c>
      <c r="CD229">
        <f t="shared" si="86"/>
        <v>0.16894977168949765</v>
      </c>
      <c r="CE229">
        <v>1</v>
      </c>
    </row>
    <row r="230" spans="1:83" x14ac:dyDescent="0.4">
      <c r="A230" t="s">
        <v>1177</v>
      </c>
      <c r="B230" t="s">
        <v>64</v>
      </c>
      <c r="C230" t="s">
        <v>82</v>
      </c>
      <c r="D230" t="s">
        <v>82</v>
      </c>
      <c r="E230" t="s">
        <v>49</v>
      </c>
      <c r="F230" t="s">
        <v>12</v>
      </c>
      <c r="G230">
        <v>30</v>
      </c>
      <c r="H230">
        <v>60</v>
      </c>
      <c r="I230">
        <v>50</v>
      </c>
      <c r="J230">
        <f t="shared" si="70"/>
        <v>-20</v>
      </c>
      <c r="K230">
        <f t="shared" si="71"/>
        <v>10</v>
      </c>
      <c r="L230">
        <v>-30</v>
      </c>
      <c r="M230">
        <v>49.85</v>
      </c>
      <c r="N230" t="s">
        <v>751</v>
      </c>
      <c r="O230" t="s">
        <v>752</v>
      </c>
      <c r="P230" t="s">
        <v>13</v>
      </c>
      <c r="Q230">
        <v>0</v>
      </c>
      <c r="R230" t="s">
        <v>13</v>
      </c>
      <c r="S230" t="s">
        <v>15</v>
      </c>
      <c r="T230" t="s">
        <v>14</v>
      </c>
      <c r="U230">
        <v>10</v>
      </c>
      <c r="V230" t="s">
        <v>17</v>
      </c>
      <c r="W230">
        <f>BC230/BB230</f>
        <v>1</v>
      </c>
      <c r="X230" t="s">
        <v>14</v>
      </c>
      <c r="Y230" t="s">
        <v>14</v>
      </c>
      <c r="Z230">
        <v>0</v>
      </c>
      <c r="AA230">
        <f t="shared" si="66"/>
        <v>4762.2188333968734</v>
      </c>
      <c r="AB230">
        <f t="shared" si="67"/>
        <v>99.542508577964156</v>
      </c>
      <c r="AC230">
        <f t="shared" si="68"/>
        <v>51.925276401067478</v>
      </c>
      <c r="AD230" t="s">
        <v>15</v>
      </c>
      <c r="AE230" t="s">
        <v>15</v>
      </c>
      <c r="AF230" t="s">
        <v>24</v>
      </c>
      <c r="AG230" t="s">
        <v>14</v>
      </c>
      <c r="AH230" t="s">
        <v>14</v>
      </c>
      <c r="AI230" t="s">
        <v>14</v>
      </c>
      <c r="AJ230" t="s">
        <v>14</v>
      </c>
      <c r="AK230" t="s">
        <v>14</v>
      </c>
      <c r="AL230" t="s">
        <v>17</v>
      </c>
      <c r="AM230">
        <f t="shared" si="69"/>
        <v>52.163921869015702</v>
      </c>
      <c r="AN230">
        <f t="shared" si="72"/>
        <v>4772.386058981233</v>
      </c>
      <c r="AO230">
        <f t="shared" si="73"/>
        <v>2384.7184986595175</v>
      </c>
      <c r="AP230">
        <f t="shared" si="74"/>
        <v>488.08885484488701</v>
      </c>
      <c r="AQ230">
        <f t="shared" si="75"/>
        <v>1865.7602451168136</v>
      </c>
      <c r="AR230">
        <f t="shared" si="76"/>
        <v>1899.5787054768289</v>
      </c>
      <c r="AS230">
        <f t="shared" si="77"/>
        <v>0.22874571101791841</v>
      </c>
      <c r="AT230">
        <f t="shared" si="78"/>
        <v>47.617232176896685</v>
      </c>
      <c r="AU230">
        <f t="shared" si="79"/>
        <v>6.5582190406638468</v>
      </c>
      <c r="AV230">
        <f t="shared" si="80"/>
        <v>39.094914410907897</v>
      </c>
      <c r="AW230">
        <f t="shared" si="81"/>
        <v>10.227354803502211</v>
      </c>
      <c r="AX230">
        <f t="shared" si="82"/>
        <v>39.803542337107864</v>
      </c>
      <c r="AY230">
        <f t="shared" si="83"/>
        <v>1999.9999999999834</v>
      </c>
      <c r="AZ230">
        <f t="shared" si="84"/>
        <v>312.98353121409423</v>
      </c>
      <c r="BA230">
        <f t="shared" si="85"/>
        <v>47.836078130984298</v>
      </c>
      <c r="BB230" t="s">
        <v>16</v>
      </c>
      <c r="BC230" t="s">
        <v>16</v>
      </c>
      <c r="BD230">
        <v>26.23</v>
      </c>
      <c r="BE230">
        <v>26.11</v>
      </c>
      <c r="BF230">
        <v>13.62</v>
      </c>
      <c r="BG230">
        <v>12.49</v>
      </c>
      <c r="BH230">
        <v>0.06</v>
      </c>
      <c r="BI230">
        <v>124913</v>
      </c>
      <c r="BJ230">
        <v>62265</v>
      </c>
      <c r="BK230">
        <v>48715</v>
      </c>
      <c r="BL230">
        <v>857</v>
      </c>
      <c r="BM230">
        <v>771</v>
      </c>
      <c r="BN230">
        <v>8172</v>
      </c>
      <c r="BO230">
        <v>2944</v>
      </c>
      <c r="BP230">
        <v>630</v>
      </c>
      <c r="BQ230">
        <v>253</v>
      </c>
      <c r="BR230">
        <v>240</v>
      </c>
      <c r="BS230" t="s">
        <v>21</v>
      </c>
      <c r="BT230" t="s">
        <v>176</v>
      </c>
      <c r="BU230">
        <v>0</v>
      </c>
      <c r="BV230">
        <v>0</v>
      </c>
      <c r="BW230">
        <v>0</v>
      </c>
      <c r="BX230">
        <v>2.2000000000000002</v>
      </c>
      <c r="BY230">
        <v>26.6</v>
      </c>
      <c r="BZ230">
        <v>27.2</v>
      </c>
      <c r="CA230">
        <v>1</v>
      </c>
      <c r="CB230">
        <v>1</v>
      </c>
      <c r="CC230">
        <v>0</v>
      </c>
      <c r="CD230">
        <f t="shared" si="86"/>
        <v>2.2058823529411686E-2</v>
      </c>
      <c r="CE230">
        <v>1</v>
      </c>
    </row>
    <row r="231" spans="1:83" x14ac:dyDescent="0.4">
      <c r="A231" t="s">
        <v>1178</v>
      </c>
      <c r="B231" t="s">
        <v>49</v>
      </c>
      <c r="C231" t="s">
        <v>73</v>
      </c>
      <c r="D231" t="s">
        <v>82</v>
      </c>
      <c r="E231" t="s">
        <v>49</v>
      </c>
      <c r="F231" t="s">
        <v>22</v>
      </c>
      <c r="G231">
        <v>20</v>
      </c>
      <c r="H231">
        <v>97</v>
      </c>
      <c r="I231">
        <v>97</v>
      </c>
      <c r="J231">
        <f t="shared" si="70"/>
        <v>-77</v>
      </c>
      <c r="K231">
        <f t="shared" si="71"/>
        <v>0</v>
      </c>
      <c r="L231">
        <v>-77</v>
      </c>
      <c r="M231">
        <v>96.92</v>
      </c>
      <c r="N231" t="s">
        <v>754</v>
      </c>
      <c r="O231" t="s">
        <v>755</v>
      </c>
      <c r="P231" t="s">
        <v>13</v>
      </c>
      <c r="Q231">
        <v>0.5</v>
      </c>
      <c r="R231" t="s">
        <v>26</v>
      </c>
      <c r="S231" t="s">
        <v>15</v>
      </c>
      <c r="T231" t="s">
        <v>14</v>
      </c>
      <c r="U231">
        <v>2.5</v>
      </c>
      <c r="V231" t="s">
        <v>14</v>
      </c>
      <c r="W231" t="s">
        <v>52</v>
      </c>
      <c r="X231" t="s">
        <v>14</v>
      </c>
      <c r="Y231" t="s">
        <v>17</v>
      </c>
      <c r="Z231">
        <v>0</v>
      </c>
      <c r="AA231">
        <f t="shared" si="66"/>
        <v>6697.4480151228736</v>
      </c>
      <c r="AB231">
        <f t="shared" si="67"/>
        <v>86.641461877756782</v>
      </c>
      <c r="AC231">
        <f t="shared" si="68"/>
        <v>84.940138626339007</v>
      </c>
      <c r="AD231" t="s">
        <v>27</v>
      </c>
      <c r="AE231" t="s">
        <v>15</v>
      </c>
      <c r="AF231" t="s">
        <v>18</v>
      </c>
      <c r="AG231" t="s">
        <v>14</v>
      </c>
      <c r="AH231" t="s">
        <v>14</v>
      </c>
      <c r="AI231" t="s">
        <v>18</v>
      </c>
      <c r="AJ231" t="s">
        <v>14</v>
      </c>
      <c r="AK231" t="s">
        <v>14</v>
      </c>
      <c r="AL231" t="s">
        <v>14</v>
      </c>
      <c r="AM231">
        <f t="shared" si="69"/>
        <v>98.036363636363632</v>
      </c>
      <c r="AN231">
        <f t="shared" si="72"/>
        <v>7677.636363636364</v>
      </c>
      <c r="AO231">
        <f t="shared" si="73"/>
        <v>7491.6727272727276</v>
      </c>
      <c r="AP231">
        <f t="shared" si="74"/>
        <v>166.87272727272727</v>
      </c>
      <c r="AQ231">
        <f t="shared" si="75"/>
        <v>8.7272727272727266</v>
      </c>
      <c r="AR231">
        <f t="shared" si="76"/>
        <v>19.09090909090909</v>
      </c>
      <c r="AS231">
        <f t="shared" si="77"/>
        <v>10.995589161940769</v>
      </c>
      <c r="AT231">
        <f t="shared" si="78"/>
        <v>1.7013232514177694</v>
      </c>
      <c r="AU231">
        <f t="shared" si="79"/>
        <v>1.588557084329931</v>
      </c>
      <c r="AV231">
        <f t="shared" si="80"/>
        <v>0.11367134771591636</v>
      </c>
      <c r="AW231">
        <f t="shared" si="81"/>
        <v>2.1734908944514175</v>
      </c>
      <c r="AX231">
        <f t="shared" si="82"/>
        <v>0.24865607312856702</v>
      </c>
      <c r="AY231">
        <f t="shared" si="83"/>
        <v>338.91509433962278</v>
      </c>
      <c r="AZ231">
        <f t="shared" si="84"/>
        <v>121.96363636363637</v>
      </c>
      <c r="BA231">
        <f t="shared" si="85"/>
        <v>1.9636363636363636</v>
      </c>
      <c r="BB231" t="s">
        <v>52</v>
      </c>
      <c r="BC231" t="s">
        <v>52</v>
      </c>
      <c r="BD231">
        <v>31.74</v>
      </c>
      <c r="BE231">
        <v>27.5</v>
      </c>
      <c r="BF231">
        <v>26.96</v>
      </c>
      <c r="BG231">
        <v>0.54</v>
      </c>
      <c r="BH231">
        <v>3.49</v>
      </c>
      <c r="BI231">
        <v>212577</v>
      </c>
      <c r="BJ231">
        <v>206021</v>
      </c>
      <c r="BK231">
        <v>240</v>
      </c>
      <c r="BL231">
        <v>709</v>
      </c>
      <c r="BM231">
        <v>59</v>
      </c>
      <c r="BN231">
        <v>3354</v>
      </c>
      <c r="BO231">
        <v>467</v>
      </c>
      <c r="BP231">
        <v>12</v>
      </c>
      <c r="BQ231">
        <v>273</v>
      </c>
      <c r="BR231">
        <v>1437</v>
      </c>
      <c r="BS231" t="s">
        <v>21</v>
      </c>
      <c r="BT231" t="s">
        <v>753</v>
      </c>
      <c r="BU231">
        <v>0</v>
      </c>
      <c r="BV231">
        <v>0.2</v>
      </c>
      <c r="BW231">
        <v>0</v>
      </c>
      <c r="BX231">
        <v>0.9</v>
      </c>
      <c r="BY231">
        <v>39.1</v>
      </c>
      <c r="BZ231">
        <v>39.700000000000003</v>
      </c>
      <c r="CA231">
        <v>10</v>
      </c>
      <c r="CB231">
        <v>10</v>
      </c>
      <c r="CC231">
        <v>0</v>
      </c>
      <c r="CD231">
        <f t="shared" si="86"/>
        <v>1.5113350125944613E-2</v>
      </c>
      <c r="CE231">
        <v>1</v>
      </c>
    </row>
    <row r="232" spans="1:83" x14ac:dyDescent="0.4">
      <c r="A232" t="s">
        <v>1179</v>
      </c>
      <c r="B232" t="s">
        <v>49</v>
      </c>
      <c r="C232" t="s">
        <v>73</v>
      </c>
      <c r="D232" t="s">
        <v>82</v>
      </c>
      <c r="E232" t="s">
        <v>49</v>
      </c>
      <c r="F232" t="s">
        <v>22</v>
      </c>
      <c r="G232">
        <v>30</v>
      </c>
      <c r="H232">
        <v>10</v>
      </c>
      <c r="I232">
        <v>18</v>
      </c>
      <c r="J232">
        <f t="shared" si="70"/>
        <v>12</v>
      </c>
      <c r="K232">
        <f t="shared" si="71"/>
        <v>-8</v>
      </c>
      <c r="L232">
        <v>20</v>
      </c>
      <c r="M232">
        <v>18.239999999999998</v>
      </c>
      <c r="N232" t="s">
        <v>756</v>
      </c>
      <c r="O232" t="s">
        <v>757</v>
      </c>
      <c r="P232" t="s">
        <v>13</v>
      </c>
      <c r="Q232">
        <v>0.2</v>
      </c>
      <c r="R232" t="s">
        <v>26</v>
      </c>
      <c r="S232" t="s">
        <v>15</v>
      </c>
      <c r="T232" t="s">
        <v>14</v>
      </c>
      <c r="U232">
        <v>2.5</v>
      </c>
      <c r="V232" t="s">
        <v>14</v>
      </c>
      <c r="W232">
        <f>BC232/BB232</f>
        <v>1</v>
      </c>
      <c r="X232" t="s">
        <v>14</v>
      </c>
      <c r="Y232" t="s">
        <v>14</v>
      </c>
      <c r="Z232">
        <v>0</v>
      </c>
      <c r="AA232">
        <f t="shared" si="66"/>
        <v>1700.5988023952098</v>
      </c>
      <c r="AB232">
        <f t="shared" si="67"/>
        <v>39.35462408516301</v>
      </c>
      <c r="AC232">
        <f t="shared" si="68"/>
        <v>6.6533599467731204</v>
      </c>
      <c r="AD232" t="s">
        <v>27</v>
      </c>
      <c r="AE232" t="s">
        <v>27</v>
      </c>
      <c r="AF232" t="s">
        <v>24</v>
      </c>
      <c r="AG232" t="s">
        <v>14</v>
      </c>
      <c r="AH232" t="s">
        <v>14</v>
      </c>
      <c r="AI232" t="s">
        <v>18</v>
      </c>
      <c r="AJ232" t="s">
        <v>14</v>
      </c>
      <c r="AK232" t="s">
        <v>14</v>
      </c>
      <c r="AL232" t="s">
        <v>14</v>
      </c>
      <c r="AM232">
        <f t="shared" si="69"/>
        <v>16.906170752324599</v>
      </c>
      <c r="AN232">
        <f t="shared" si="72"/>
        <v>2550.0422654268809</v>
      </c>
      <c r="AO232">
        <f t="shared" si="73"/>
        <v>788.25021132713437</v>
      </c>
      <c r="AP232">
        <f t="shared" si="74"/>
        <v>508.87573964497039</v>
      </c>
      <c r="AQ232">
        <f t="shared" si="75"/>
        <v>1156.0439560439561</v>
      </c>
      <c r="AR232">
        <f t="shared" si="76"/>
        <v>1252.9163144547761</v>
      </c>
      <c r="AS232">
        <f t="shared" si="77"/>
        <v>12.774451097804391</v>
      </c>
      <c r="AT232">
        <f t="shared" si="78"/>
        <v>32.734530938123754</v>
      </c>
      <c r="AU232">
        <f t="shared" si="79"/>
        <v>10.896012198760234</v>
      </c>
      <c r="AV232">
        <f t="shared" si="80"/>
        <v>45.334305698279579</v>
      </c>
      <c r="AW232">
        <f t="shared" si="81"/>
        <v>19.955580601319323</v>
      </c>
      <c r="AX232">
        <f t="shared" si="82"/>
        <v>49.133158749627079</v>
      </c>
      <c r="AY232">
        <f t="shared" si="83"/>
        <v>1147.1749862863414</v>
      </c>
      <c r="AZ232">
        <f t="shared" si="84"/>
        <v>277.85291631445477</v>
      </c>
      <c r="BA232">
        <f t="shared" si="85"/>
        <v>83.178360101437022</v>
      </c>
      <c r="BB232" t="s">
        <v>28</v>
      </c>
      <c r="BC232" t="s">
        <v>28</v>
      </c>
      <c r="BD232">
        <v>30.06</v>
      </c>
      <c r="BE232">
        <v>11.83</v>
      </c>
      <c r="BF232">
        <v>2</v>
      </c>
      <c r="BG232">
        <v>9.84</v>
      </c>
      <c r="BH232">
        <v>3.84</v>
      </c>
      <c r="BI232">
        <v>51120</v>
      </c>
      <c r="BJ232">
        <v>9325</v>
      </c>
      <c r="BK232">
        <v>13676</v>
      </c>
      <c r="BL232">
        <v>2255</v>
      </c>
      <c r="BM232">
        <v>290</v>
      </c>
      <c r="BN232">
        <v>3287</v>
      </c>
      <c r="BO232">
        <v>188</v>
      </c>
      <c r="BP232">
        <v>852</v>
      </c>
      <c r="BQ232">
        <v>294</v>
      </c>
      <c r="BR232">
        <v>20913</v>
      </c>
      <c r="BS232" t="s">
        <v>21</v>
      </c>
      <c r="BT232" t="s">
        <v>538</v>
      </c>
      <c r="BU232">
        <v>0</v>
      </c>
      <c r="BV232">
        <v>0</v>
      </c>
      <c r="BW232">
        <v>0.3</v>
      </c>
      <c r="BX232">
        <v>0.1</v>
      </c>
      <c r="BY232">
        <v>35.700000000000003</v>
      </c>
      <c r="BZ232">
        <v>35.9</v>
      </c>
      <c r="CA232">
        <v>4</v>
      </c>
      <c r="CB232">
        <v>4</v>
      </c>
      <c r="CC232">
        <v>0</v>
      </c>
      <c r="CD232">
        <f t="shared" si="86"/>
        <v>5.5710306406684396E-3</v>
      </c>
      <c r="CE232">
        <v>1</v>
      </c>
    </row>
    <row r="233" spans="1:83" x14ac:dyDescent="0.4">
      <c r="A233" t="s">
        <v>1180</v>
      </c>
      <c r="B233" t="s">
        <v>49</v>
      </c>
      <c r="C233" t="s">
        <v>73</v>
      </c>
      <c r="D233" t="s">
        <v>82</v>
      </c>
      <c r="E233" t="s">
        <v>49</v>
      </c>
      <c r="F233" t="s">
        <v>22</v>
      </c>
      <c r="G233">
        <v>30</v>
      </c>
      <c r="H233">
        <v>99</v>
      </c>
      <c r="I233">
        <v>65.5</v>
      </c>
      <c r="J233">
        <f t="shared" si="70"/>
        <v>-35.5</v>
      </c>
      <c r="K233">
        <f t="shared" si="71"/>
        <v>33.5</v>
      </c>
      <c r="L233">
        <v>-69</v>
      </c>
      <c r="M233">
        <v>65.709999999999994</v>
      </c>
      <c r="N233" t="s">
        <v>758</v>
      </c>
      <c r="O233" t="s">
        <v>759</v>
      </c>
      <c r="P233" t="s">
        <v>13</v>
      </c>
      <c r="Q233">
        <v>0.4</v>
      </c>
      <c r="R233" t="s">
        <v>26</v>
      </c>
      <c r="S233" t="s">
        <v>15</v>
      </c>
      <c r="T233" t="s">
        <v>14</v>
      </c>
      <c r="U233">
        <v>45</v>
      </c>
      <c r="V233" t="s">
        <v>17</v>
      </c>
      <c r="W233">
        <f>BC233/BB233</f>
        <v>1</v>
      </c>
      <c r="X233" t="s">
        <v>14</v>
      </c>
      <c r="Y233" t="s">
        <v>14</v>
      </c>
      <c r="Z233">
        <v>20</v>
      </c>
      <c r="AA233">
        <f t="shared" si="66"/>
        <v>10764.528301886792</v>
      </c>
      <c r="AB233">
        <f t="shared" si="67"/>
        <v>92.452830188679258</v>
      </c>
      <c r="AC233">
        <f t="shared" si="68"/>
        <v>83.773584905660385</v>
      </c>
      <c r="AD233" t="s">
        <v>15</v>
      </c>
      <c r="AE233" t="s">
        <v>15</v>
      </c>
      <c r="AF233" t="s">
        <v>18</v>
      </c>
      <c r="AG233" t="s">
        <v>14</v>
      </c>
      <c r="AH233" t="s">
        <v>14</v>
      </c>
      <c r="AI233" t="s">
        <v>18</v>
      </c>
      <c r="AJ233" t="s">
        <v>14</v>
      </c>
      <c r="AK233" t="s">
        <v>14</v>
      </c>
      <c r="AL233" t="s">
        <v>14</v>
      </c>
      <c r="AM233">
        <f t="shared" si="69"/>
        <v>90.612244897959187</v>
      </c>
      <c r="AN233">
        <f t="shared" si="72"/>
        <v>11265.714285714284</v>
      </c>
      <c r="AO233">
        <f t="shared" si="73"/>
        <v>7651.0204081632646</v>
      </c>
      <c r="AP233">
        <f t="shared" si="74"/>
        <v>3101.6326530612241</v>
      </c>
      <c r="AQ233">
        <f t="shared" si="75"/>
        <v>245.30612244897958</v>
      </c>
      <c r="AR233">
        <f t="shared" si="76"/>
        <v>513.0612244897959</v>
      </c>
      <c r="AS233">
        <f t="shared" si="77"/>
        <v>2.2641509433962264</v>
      </c>
      <c r="AT233">
        <f t="shared" si="78"/>
        <v>8.6792452830188687</v>
      </c>
      <c r="AU233">
        <f t="shared" si="79"/>
        <v>23.752762581065902</v>
      </c>
      <c r="AV233">
        <f t="shared" si="80"/>
        <v>2.177457338502228</v>
      </c>
      <c r="AW233">
        <f t="shared" si="81"/>
        <v>27.531611173508207</v>
      </c>
      <c r="AX233">
        <f t="shared" si="82"/>
        <v>4.5541828194630627</v>
      </c>
      <c r="AY233">
        <f t="shared" si="83"/>
        <v>4605.0000000000064</v>
      </c>
      <c r="AZ233">
        <f t="shared" si="84"/>
        <v>2675.9183673469388</v>
      </c>
      <c r="BA233">
        <f t="shared" si="85"/>
        <v>9.3877551020408152</v>
      </c>
      <c r="BB233" t="s">
        <v>29</v>
      </c>
      <c r="BC233" t="s">
        <v>29</v>
      </c>
      <c r="BD233">
        <v>2.65</v>
      </c>
      <c r="BE233">
        <v>2.4500000000000002</v>
      </c>
      <c r="BF233">
        <v>2.2200000000000002</v>
      </c>
      <c r="BG233">
        <v>0.23</v>
      </c>
      <c r="BH233">
        <v>0.06</v>
      </c>
      <c r="BI233">
        <v>28526</v>
      </c>
      <c r="BJ233">
        <v>18745</v>
      </c>
      <c r="BK233">
        <v>601</v>
      </c>
      <c r="BL233">
        <v>752</v>
      </c>
      <c r="BM233">
        <v>226</v>
      </c>
      <c r="BN233">
        <v>6556</v>
      </c>
      <c r="BO233">
        <v>65</v>
      </c>
      <c r="BP233">
        <v>581</v>
      </c>
      <c r="BQ233">
        <v>75</v>
      </c>
      <c r="BR233">
        <v>921</v>
      </c>
      <c r="BS233" t="s">
        <v>21</v>
      </c>
      <c r="BT233" t="s">
        <v>175</v>
      </c>
      <c r="BU233">
        <v>0.5</v>
      </c>
      <c r="BV233">
        <v>2.4</v>
      </c>
      <c r="BW233">
        <v>28</v>
      </c>
      <c r="BX233">
        <v>25.5</v>
      </c>
      <c r="BY233">
        <v>3.8</v>
      </c>
      <c r="BZ233">
        <v>8.9</v>
      </c>
      <c r="CA233">
        <v>5</v>
      </c>
      <c r="CB233">
        <v>5</v>
      </c>
      <c r="CC233">
        <v>0</v>
      </c>
      <c r="CD233">
        <f t="shared" si="86"/>
        <v>0.57303370786516861</v>
      </c>
      <c r="CE233">
        <v>1</v>
      </c>
    </row>
    <row r="234" spans="1:83" x14ac:dyDescent="0.4">
      <c r="A234" t="s">
        <v>1181</v>
      </c>
      <c r="B234" t="s">
        <v>43</v>
      </c>
      <c r="C234" t="s">
        <v>82</v>
      </c>
      <c r="D234" t="s">
        <v>82</v>
      </c>
      <c r="E234" t="s">
        <v>49</v>
      </c>
      <c r="F234" t="s">
        <v>22</v>
      </c>
      <c r="G234">
        <v>30</v>
      </c>
      <c r="H234">
        <v>50</v>
      </c>
      <c r="I234">
        <v>47.5</v>
      </c>
      <c r="J234">
        <f t="shared" si="70"/>
        <v>-17.5</v>
      </c>
      <c r="K234">
        <f t="shared" si="71"/>
        <v>2.5</v>
      </c>
      <c r="L234">
        <v>-20</v>
      </c>
      <c r="M234">
        <v>47.29</v>
      </c>
      <c r="N234" t="s">
        <v>761</v>
      </c>
      <c r="O234" t="s">
        <v>762</v>
      </c>
      <c r="P234" t="s">
        <v>13</v>
      </c>
      <c r="Q234">
        <v>1.9</v>
      </c>
      <c r="R234" t="s">
        <v>13</v>
      </c>
      <c r="S234" t="s">
        <v>27</v>
      </c>
      <c r="T234" t="s">
        <v>14</v>
      </c>
      <c r="U234">
        <v>2.5</v>
      </c>
      <c r="V234" t="s">
        <v>14</v>
      </c>
      <c r="W234" t="s">
        <v>52</v>
      </c>
      <c r="X234" t="s">
        <v>14</v>
      </c>
      <c r="Y234" t="s">
        <v>17</v>
      </c>
      <c r="Z234">
        <v>0</v>
      </c>
      <c r="AA234">
        <f t="shared" si="66"/>
        <v>3030.3404079382581</v>
      </c>
      <c r="AB234">
        <f t="shared" si="67"/>
        <v>59.192392502756334</v>
      </c>
      <c r="AC234">
        <f t="shared" si="68"/>
        <v>23.911245865490631</v>
      </c>
      <c r="AD234" t="s">
        <v>36</v>
      </c>
      <c r="AE234" t="s">
        <v>27</v>
      </c>
      <c r="AF234" t="s">
        <v>24</v>
      </c>
      <c r="AG234" t="s">
        <v>14</v>
      </c>
      <c r="AH234" t="s">
        <v>14</v>
      </c>
      <c r="AI234" t="s">
        <v>41</v>
      </c>
      <c r="AJ234" t="s">
        <v>14</v>
      </c>
      <c r="AK234" t="s">
        <v>14</v>
      </c>
      <c r="AL234" t="s">
        <v>14</v>
      </c>
      <c r="AM234">
        <f t="shared" si="69"/>
        <v>40.395809080325961</v>
      </c>
      <c r="AN234">
        <f t="shared" si="72"/>
        <v>4624.8195576251455</v>
      </c>
      <c r="AO234">
        <f t="shared" si="73"/>
        <v>2420.8149010477296</v>
      </c>
      <c r="AP234">
        <f t="shared" si="74"/>
        <v>705.80908032596039</v>
      </c>
      <c r="AQ234">
        <f t="shared" si="75"/>
        <v>1215.5529685681024</v>
      </c>
      <c r="AR234">
        <f t="shared" si="76"/>
        <v>1498.1955762514551</v>
      </c>
      <c r="AS234">
        <f t="shared" si="77"/>
        <v>15.325248070562292</v>
      </c>
      <c r="AT234">
        <f t="shared" si="78"/>
        <v>35.281146637265707</v>
      </c>
      <c r="AU234">
        <f t="shared" si="79"/>
        <v>6.9743148271209652</v>
      </c>
      <c r="AV234">
        <f t="shared" si="80"/>
        <v>26.283251777119958</v>
      </c>
      <c r="AW234">
        <f t="shared" si="81"/>
        <v>15.261332286191829</v>
      </c>
      <c r="AX234">
        <f t="shared" si="82"/>
        <v>32.39468172939447</v>
      </c>
      <c r="AY234">
        <f t="shared" si="83"/>
        <v>710.65518405943942</v>
      </c>
      <c r="AZ234">
        <f t="shared" si="84"/>
        <v>322.54947613504072</v>
      </c>
      <c r="BA234">
        <f t="shared" si="85"/>
        <v>59.604190919674039</v>
      </c>
      <c r="BB234" t="s">
        <v>52</v>
      </c>
      <c r="BC234" t="s">
        <v>52</v>
      </c>
      <c r="BD234">
        <v>145.12</v>
      </c>
      <c r="BE234">
        <v>85.9</v>
      </c>
      <c r="BF234">
        <v>34.700000000000003</v>
      </c>
      <c r="BG234">
        <v>51.2</v>
      </c>
      <c r="BH234">
        <v>22.24</v>
      </c>
      <c r="BI234">
        <v>439763</v>
      </c>
      <c r="BJ234">
        <v>207948</v>
      </c>
      <c r="BK234">
        <v>104416</v>
      </c>
      <c r="BL234">
        <v>25314</v>
      </c>
      <c r="BM234">
        <v>3894</v>
      </c>
      <c r="BN234">
        <v>27707</v>
      </c>
      <c r="BO234">
        <v>3714</v>
      </c>
      <c r="BP234">
        <v>17238</v>
      </c>
      <c r="BQ234">
        <v>7041</v>
      </c>
      <c r="BR234">
        <v>42085</v>
      </c>
      <c r="BS234" t="s">
        <v>21</v>
      </c>
      <c r="BT234" t="s">
        <v>760</v>
      </c>
      <c r="BU234">
        <v>0</v>
      </c>
      <c r="BV234">
        <v>1.4</v>
      </c>
      <c r="BW234">
        <v>0</v>
      </c>
      <c r="BX234">
        <v>0</v>
      </c>
      <c r="BY234">
        <v>178.5</v>
      </c>
      <c r="BZ234">
        <v>184.8</v>
      </c>
      <c r="CA234">
        <v>10</v>
      </c>
      <c r="CB234">
        <v>10</v>
      </c>
      <c r="CC234">
        <v>0</v>
      </c>
      <c r="CD234">
        <f t="shared" si="86"/>
        <v>3.4090909090909172E-2</v>
      </c>
      <c r="CE234">
        <v>1</v>
      </c>
    </row>
    <row r="235" spans="1:83" x14ac:dyDescent="0.4">
      <c r="A235" t="s">
        <v>1182</v>
      </c>
      <c r="B235" t="s">
        <v>34</v>
      </c>
      <c r="C235" t="s">
        <v>34</v>
      </c>
      <c r="D235" t="s">
        <v>34</v>
      </c>
      <c r="E235" t="s">
        <v>49</v>
      </c>
      <c r="F235" t="s">
        <v>32</v>
      </c>
      <c r="G235">
        <v>50</v>
      </c>
      <c r="H235">
        <v>30</v>
      </c>
      <c r="I235">
        <v>8.5</v>
      </c>
      <c r="J235">
        <f t="shared" si="70"/>
        <v>41.5</v>
      </c>
      <c r="K235">
        <f t="shared" si="71"/>
        <v>21.5</v>
      </c>
      <c r="L235">
        <v>20</v>
      </c>
      <c r="M235">
        <v>8.27</v>
      </c>
      <c r="N235" t="s">
        <v>763</v>
      </c>
      <c r="O235" t="s">
        <v>764</v>
      </c>
      <c r="P235" t="s">
        <v>13</v>
      </c>
      <c r="Q235">
        <v>0</v>
      </c>
      <c r="R235" t="s">
        <v>13</v>
      </c>
      <c r="S235" t="s">
        <v>15</v>
      </c>
      <c r="T235" t="s">
        <v>14</v>
      </c>
      <c r="U235">
        <v>0</v>
      </c>
      <c r="V235" t="s">
        <v>14</v>
      </c>
      <c r="W235">
        <v>0</v>
      </c>
      <c r="X235" t="s">
        <v>14</v>
      </c>
      <c r="Y235" t="s">
        <v>14</v>
      </c>
      <c r="Z235">
        <v>0</v>
      </c>
      <c r="AA235">
        <f t="shared" si="66"/>
        <v>622.92870905587665</v>
      </c>
      <c r="AB235">
        <f t="shared" si="67"/>
        <v>1.6859344894026973</v>
      </c>
      <c r="AC235">
        <f t="shared" si="68"/>
        <v>1.3005780346820808</v>
      </c>
      <c r="AD235" t="s">
        <v>36</v>
      </c>
      <c r="AE235" t="s">
        <v>15</v>
      </c>
      <c r="AF235" t="s">
        <v>18</v>
      </c>
      <c r="AG235" t="s">
        <v>14</v>
      </c>
      <c r="AH235" t="s">
        <v>14</v>
      </c>
      <c r="AI235" t="s">
        <v>14</v>
      </c>
      <c r="AJ235" t="s">
        <v>14</v>
      </c>
      <c r="AK235" t="s">
        <v>14</v>
      </c>
      <c r="AL235" t="s">
        <v>14</v>
      </c>
      <c r="AM235">
        <f t="shared" si="69"/>
        <v>77.142857142857153</v>
      </c>
      <c r="AN235">
        <f t="shared" si="72"/>
        <v>3580</v>
      </c>
      <c r="AO235">
        <f t="shared" si="73"/>
        <v>3054.2857142857147</v>
      </c>
      <c r="AP235">
        <f t="shared" si="74"/>
        <v>374.28571428571433</v>
      </c>
      <c r="AQ235">
        <f t="shared" si="75"/>
        <v>62.857142857142861</v>
      </c>
      <c r="AR235">
        <f t="shared" si="76"/>
        <v>151.42857142857144</v>
      </c>
      <c r="AS235">
        <f t="shared" si="77"/>
        <v>32.755298651252403</v>
      </c>
      <c r="AT235">
        <f t="shared" si="78"/>
        <v>0.38535645472061653</v>
      </c>
      <c r="AU235">
        <f t="shared" si="79"/>
        <v>5.267358339984038</v>
      </c>
      <c r="AV235">
        <f t="shared" si="80"/>
        <v>1.7557861133280128</v>
      </c>
      <c r="AW235">
        <f t="shared" si="81"/>
        <v>10.454908220271349</v>
      </c>
      <c r="AX235">
        <f t="shared" si="82"/>
        <v>4.2298483639265765</v>
      </c>
      <c r="AY235">
        <f t="shared" si="83"/>
        <v>572.07251347378735</v>
      </c>
      <c r="AZ235">
        <f t="shared" si="84"/>
        <v>188.57142857142858</v>
      </c>
      <c r="BA235">
        <f t="shared" si="85"/>
        <v>22.857142857142858</v>
      </c>
      <c r="BB235" t="s">
        <v>33</v>
      </c>
      <c r="BC235" t="s">
        <v>33</v>
      </c>
      <c r="BD235">
        <v>20.76</v>
      </c>
      <c r="BE235">
        <v>0.35</v>
      </c>
      <c r="BF235">
        <v>0.27</v>
      </c>
      <c r="BG235">
        <v>0.08</v>
      </c>
      <c r="BH235">
        <v>6.8</v>
      </c>
      <c r="BI235">
        <v>12932</v>
      </c>
      <c r="BJ235">
        <v>1069</v>
      </c>
      <c r="BK235">
        <v>22</v>
      </c>
      <c r="BL235">
        <v>44</v>
      </c>
      <c r="BM235">
        <v>6</v>
      </c>
      <c r="BN235">
        <v>66</v>
      </c>
      <c r="BO235">
        <v>15</v>
      </c>
      <c r="BP235">
        <v>2</v>
      </c>
      <c r="BQ235">
        <v>29</v>
      </c>
      <c r="BR235">
        <v>11676</v>
      </c>
      <c r="BS235" t="s">
        <v>44</v>
      </c>
      <c r="BT235" t="s">
        <v>147</v>
      </c>
      <c r="BU235">
        <v>0</v>
      </c>
      <c r="BV235">
        <v>0</v>
      </c>
      <c r="BW235">
        <v>0</v>
      </c>
      <c r="BX235">
        <v>0</v>
      </c>
      <c r="BY235">
        <v>26.3</v>
      </c>
      <c r="BZ235">
        <v>26.3</v>
      </c>
      <c r="CA235">
        <v>0</v>
      </c>
      <c r="CB235">
        <v>0</v>
      </c>
      <c r="CC235">
        <v>0</v>
      </c>
      <c r="CD235">
        <f t="shared" si="86"/>
        <v>0</v>
      </c>
      <c r="CE235">
        <v>0</v>
      </c>
    </row>
    <row r="236" spans="1:83" x14ac:dyDescent="0.4">
      <c r="A236" t="s">
        <v>1183</v>
      </c>
      <c r="B236" t="s">
        <v>49</v>
      </c>
      <c r="C236" t="s">
        <v>73</v>
      </c>
      <c r="D236" t="s">
        <v>82</v>
      </c>
      <c r="E236" t="s">
        <v>49</v>
      </c>
      <c r="F236" t="s">
        <v>22</v>
      </c>
      <c r="G236">
        <v>70</v>
      </c>
      <c r="H236">
        <v>89</v>
      </c>
      <c r="I236">
        <v>57.5</v>
      </c>
      <c r="J236">
        <f t="shared" si="70"/>
        <v>12.5</v>
      </c>
      <c r="K236">
        <f t="shared" si="71"/>
        <v>31.5</v>
      </c>
      <c r="L236">
        <v>-19</v>
      </c>
      <c r="M236">
        <v>57.59</v>
      </c>
      <c r="N236" t="s">
        <v>766</v>
      </c>
      <c r="O236" t="s">
        <v>767</v>
      </c>
      <c r="P236" t="s">
        <v>13</v>
      </c>
      <c r="Q236">
        <v>1.2</v>
      </c>
      <c r="R236" t="s">
        <v>26</v>
      </c>
      <c r="S236" t="s">
        <v>15</v>
      </c>
      <c r="T236" t="s">
        <v>14</v>
      </c>
      <c r="U236">
        <v>50</v>
      </c>
      <c r="V236" t="s">
        <v>17</v>
      </c>
      <c r="W236">
        <f>BC236/BB236</f>
        <v>0.9</v>
      </c>
      <c r="X236" t="s">
        <v>14</v>
      </c>
      <c r="Y236" t="s">
        <v>14</v>
      </c>
      <c r="Z236">
        <v>20</v>
      </c>
      <c r="AA236">
        <f t="shared" si="66"/>
        <v>6901.2371134020623</v>
      </c>
      <c r="AB236">
        <f t="shared" si="67"/>
        <v>74.432989690721655</v>
      </c>
      <c r="AC236">
        <f t="shared" si="68"/>
        <v>39.587628865979383</v>
      </c>
      <c r="AD236" t="s">
        <v>15</v>
      </c>
      <c r="AE236" t="s">
        <v>15</v>
      </c>
      <c r="AF236" t="s">
        <v>18</v>
      </c>
      <c r="AG236" t="s">
        <v>14</v>
      </c>
      <c r="AH236" t="s">
        <v>14</v>
      </c>
      <c r="AI236" t="s">
        <v>18</v>
      </c>
      <c r="AJ236" t="s">
        <v>14</v>
      </c>
      <c r="AK236" t="s">
        <v>14</v>
      </c>
      <c r="AL236" t="s">
        <v>14</v>
      </c>
      <c r="AM236">
        <f t="shared" si="69"/>
        <v>53.18559556786704</v>
      </c>
      <c r="AN236">
        <f t="shared" si="72"/>
        <v>7667.4515235457066</v>
      </c>
      <c r="AO236">
        <f t="shared" si="73"/>
        <v>5340.027700831025</v>
      </c>
      <c r="AP236">
        <f t="shared" si="74"/>
        <v>1014.4044321329641</v>
      </c>
      <c r="AQ236">
        <f t="shared" si="75"/>
        <v>1076.038781163435</v>
      </c>
      <c r="AR236">
        <f t="shared" si="76"/>
        <v>1313.0193905817175</v>
      </c>
      <c r="AS236">
        <f t="shared" si="77"/>
        <v>1.7525773195876291</v>
      </c>
      <c r="AT236">
        <f t="shared" si="78"/>
        <v>34.845360824742272</v>
      </c>
      <c r="AU236">
        <f t="shared" si="79"/>
        <v>9.055438140139815</v>
      </c>
      <c r="AV236">
        <f t="shared" si="80"/>
        <v>14.033851767553605</v>
      </c>
      <c r="AW236">
        <f t="shared" si="81"/>
        <v>13.230007767481348</v>
      </c>
      <c r="AX236">
        <f t="shared" si="82"/>
        <v>17.124586788056142</v>
      </c>
      <c r="AY236">
        <f t="shared" si="83"/>
        <v>4637.5000000000009</v>
      </c>
      <c r="AZ236">
        <f t="shared" si="84"/>
        <v>694.3213296398892</v>
      </c>
      <c r="BA236">
        <f t="shared" si="85"/>
        <v>46.814404432132967</v>
      </c>
      <c r="BB236" t="s">
        <v>39</v>
      </c>
      <c r="BC236" t="s">
        <v>47</v>
      </c>
      <c r="BD236">
        <v>9.6999999999999993</v>
      </c>
      <c r="BE236">
        <v>7.22</v>
      </c>
      <c r="BF236">
        <v>3.84</v>
      </c>
      <c r="BG236">
        <v>3.38</v>
      </c>
      <c r="BH236">
        <v>0.17</v>
      </c>
      <c r="BI236">
        <v>66942</v>
      </c>
      <c r="BJ236">
        <v>38555</v>
      </c>
      <c r="BK236">
        <v>7769</v>
      </c>
      <c r="BL236">
        <v>962</v>
      </c>
      <c r="BM236">
        <v>685</v>
      </c>
      <c r="BN236">
        <v>5013</v>
      </c>
      <c r="BO236">
        <v>664</v>
      </c>
      <c r="BP236">
        <v>1188</v>
      </c>
      <c r="BQ236">
        <v>523</v>
      </c>
      <c r="BR236">
        <v>11501</v>
      </c>
      <c r="BS236" t="s">
        <v>21</v>
      </c>
      <c r="BT236" t="s">
        <v>243</v>
      </c>
      <c r="BU236">
        <v>0</v>
      </c>
      <c r="BV236">
        <v>7.2</v>
      </c>
      <c r="BW236">
        <v>0</v>
      </c>
      <c r="BX236">
        <v>29.6</v>
      </c>
      <c r="BY236">
        <v>12.4</v>
      </c>
      <c r="BZ236">
        <v>19.899999999999999</v>
      </c>
      <c r="CA236">
        <v>10</v>
      </c>
      <c r="CB236">
        <v>9</v>
      </c>
      <c r="CC236">
        <v>0</v>
      </c>
      <c r="CD236">
        <f t="shared" si="86"/>
        <v>0.37688442211055273</v>
      </c>
      <c r="CE236">
        <v>0.9</v>
      </c>
    </row>
    <row r="237" spans="1:83" x14ac:dyDescent="0.4">
      <c r="A237" t="s">
        <v>1184</v>
      </c>
      <c r="B237" t="s">
        <v>34</v>
      </c>
      <c r="C237" t="s">
        <v>34</v>
      </c>
      <c r="D237" t="s">
        <v>34</v>
      </c>
      <c r="E237" t="s">
        <v>49</v>
      </c>
      <c r="F237" t="s">
        <v>22</v>
      </c>
      <c r="G237">
        <v>50</v>
      </c>
      <c r="H237">
        <v>40</v>
      </c>
      <c r="I237">
        <v>40</v>
      </c>
      <c r="J237">
        <f t="shared" si="70"/>
        <v>10</v>
      </c>
      <c r="K237">
        <f t="shared" si="71"/>
        <v>0</v>
      </c>
      <c r="L237">
        <v>10</v>
      </c>
      <c r="M237">
        <v>39.85</v>
      </c>
      <c r="N237" t="s">
        <v>768</v>
      </c>
      <c r="O237" t="s">
        <v>769</v>
      </c>
      <c r="P237" t="s">
        <v>13</v>
      </c>
      <c r="Q237">
        <v>0.7</v>
      </c>
      <c r="R237" t="s">
        <v>38</v>
      </c>
      <c r="S237" t="s">
        <v>15</v>
      </c>
      <c r="T237" t="s">
        <v>14</v>
      </c>
      <c r="U237">
        <v>20</v>
      </c>
      <c r="V237" t="s">
        <v>17</v>
      </c>
      <c r="W237">
        <f>BC237/BB237</f>
        <v>1</v>
      </c>
      <c r="X237" t="s">
        <v>14</v>
      </c>
      <c r="Y237" t="s">
        <v>14</v>
      </c>
      <c r="Z237">
        <v>10</v>
      </c>
      <c r="AA237">
        <f t="shared" si="66"/>
        <v>5486.2745098039213</v>
      </c>
      <c r="AB237">
        <f t="shared" si="67"/>
        <v>58.823529411764703</v>
      </c>
      <c r="AC237">
        <f t="shared" si="68"/>
        <v>49.019607843137251</v>
      </c>
      <c r="AD237" t="s">
        <v>36</v>
      </c>
      <c r="AE237" t="s">
        <v>15</v>
      </c>
      <c r="AF237" t="s">
        <v>18</v>
      </c>
      <c r="AG237" t="s">
        <v>14</v>
      </c>
      <c r="AH237" t="s">
        <v>14</v>
      </c>
      <c r="AI237" t="s">
        <v>18</v>
      </c>
      <c r="AJ237" t="s">
        <v>14</v>
      </c>
      <c r="AK237" t="s">
        <v>14</v>
      </c>
      <c r="AL237" t="s">
        <v>14</v>
      </c>
      <c r="AM237">
        <f t="shared" si="69"/>
        <v>83.333333333333343</v>
      </c>
      <c r="AN237">
        <f t="shared" si="72"/>
        <v>7610</v>
      </c>
      <c r="AO237">
        <f t="shared" si="73"/>
        <v>3716.666666666667</v>
      </c>
      <c r="AP237">
        <f t="shared" si="74"/>
        <v>3420</v>
      </c>
      <c r="AQ237">
        <f t="shared" si="75"/>
        <v>200</v>
      </c>
      <c r="AR237">
        <f t="shared" si="76"/>
        <v>473.33333333333337</v>
      </c>
      <c r="AS237">
        <f t="shared" si="77"/>
        <v>7.8431372549019605</v>
      </c>
      <c r="AT237">
        <f t="shared" si="78"/>
        <v>7.8431372549019605</v>
      </c>
      <c r="AU237">
        <f t="shared" si="79"/>
        <v>40.035041611914146</v>
      </c>
      <c r="AV237">
        <f t="shared" si="80"/>
        <v>2.6281208935611038</v>
      </c>
      <c r="AW237">
        <f t="shared" si="81"/>
        <v>44.940867279894874</v>
      </c>
      <c r="AX237">
        <f t="shared" si="82"/>
        <v>6.2198861147612794</v>
      </c>
      <c r="AY237">
        <f t="shared" si="83"/>
        <v>2419.0476190476188</v>
      </c>
      <c r="AZ237">
        <f t="shared" si="84"/>
        <v>3046.666666666667</v>
      </c>
      <c r="BA237">
        <f t="shared" si="85"/>
        <v>13.333333333333334</v>
      </c>
      <c r="BB237" t="s">
        <v>50</v>
      </c>
      <c r="BC237" t="s">
        <v>50</v>
      </c>
      <c r="BD237">
        <v>0.51</v>
      </c>
      <c r="BE237">
        <v>0.3</v>
      </c>
      <c r="BF237">
        <v>0.25</v>
      </c>
      <c r="BG237">
        <v>0.04</v>
      </c>
      <c r="BH237">
        <v>0.04</v>
      </c>
      <c r="BI237">
        <v>2798</v>
      </c>
      <c r="BJ237">
        <v>1115</v>
      </c>
      <c r="BK237">
        <v>60</v>
      </c>
      <c r="BL237">
        <v>60</v>
      </c>
      <c r="BM237">
        <v>35</v>
      </c>
      <c r="BN237">
        <v>914</v>
      </c>
      <c r="BO237">
        <v>17</v>
      </c>
      <c r="BP237">
        <v>43</v>
      </c>
      <c r="BQ237">
        <v>39</v>
      </c>
      <c r="BR237">
        <v>508</v>
      </c>
      <c r="BS237" t="s">
        <v>44</v>
      </c>
      <c r="BT237" t="s">
        <v>136</v>
      </c>
      <c r="BU237">
        <v>0</v>
      </c>
      <c r="BV237">
        <v>0</v>
      </c>
      <c r="BW237">
        <v>0</v>
      </c>
      <c r="BX237">
        <v>8.6</v>
      </c>
      <c r="BY237">
        <v>0.6</v>
      </c>
      <c r="BZ237">
        <v>0.6</v>
      </c>
      <c r="CA237">
        <v>7</v>
      </c>
      <c r="CB237">
        <v>7</v>
      </c>
      <c r="CC237">
        <v>0</v>
      </c>
      <c r="CD237">
        <f t="shared" si="86"/>
        <v>0</v>
      </c>
      <c r="CE237">
        <v>1</v>
      </c>
    </row>
    <row r="238" spans="1:83" x14ac:dyDescent="0.4">
      <c r="A238" t="s">
        <v>1185</v>
      </c>
      <c r="B238" t="s">
        <v>67</v>
      </c>
      <c r="C238" t="s">
        <v>82</v>
      </c>
      <c r="D238" t="s">
        <v>82</v>
      </c>
      <c r="E238" t="s">
        <v>49</v>
      </c>
      <c r="F238" t="s">
        <v>32</v>
      </c>
      <c r="G238">
        <v>50</v>
      </c>
      <c r="H238">
        <v>49</v>
      </c>
      <c r="I238">
        <v>65.5</v>
      </c>
      <c r="J238">
        <f t="shared" si="70"/>
        <v>-15.5</v>
      </c>
      <c r="K238">
        <f t="shared" si="71"/>
        <v>-16.5</v>
      </c>
      <c r="L238">
        <v>1</v>
      </c>
      <c r="M238">
        <v>65.33</v>
      </c>
      <c r="N238" t="s">
        <v>771</v>
      </c>
      <c r="O238" t="s">
        <v>772</v>
      </c>
      <c r="P238" t="s">
        <v>13</v>
      </c>
      <c r="Q238">
        <v>0.3</v>
      </c>
      <c r="R238" t="s">
        <v>26</v>
      </c>
      <c r="S238" t="s">
        <v>15</v>
      </c>
      <c r="T238" t="s">
        <v>14</v>
      </c>
      <c r="U238">
        <v>2.5</v>
      </c>
      <c r="V238" t="s">
        <v>14</v>
      </c>
      <c r="W238">
        <v>0</v>
      </c>
      <c r="X238" t="s">
        <v>14</v>
      </c>
      <c r="Y238" t="s">
        <v>14</v>
      </c>
      <c r="Z238">
        <v>5</v>
      </c>
      <c r="AA238">
        <f t="shared" si="66"/>
        <v>735.2288488210819</v>
      </c>
      <c r="AB238">
        <f t="shared" si="67"/>
        <v>18.723994452149793</v>
      </c>
      <c r="AC238">
        <f t="shared" si="68"/>
        <v>18.23855755894591</v>
      </c>
      <c r="AD238" t="s">
        <v>36</v>
      </c>
      <c r="AE238" t="s">
        <v>15</v>
      </c>
      <c r="AF238" t="s">
        <v>18</v>
      </c>
      <c r="AG238" t="s">
        <v>14</v>
      </c>
      <c r="AH238" t="s">
        <v>14</v>
      </c>
      <c r="AI238" t="s">
        <v>14</v>
      </c>
      <c r="AJ238" t="s">
        <v>14</v>
      </c>
      <c r="AK238" t="s">
        <v>14</v>
      </c>
      <c r="AL238" t="s">
        <v>14</v>
      </c>
      <c r="AM238">
        <f t="shared" si="69"/>
        <v>97.407407407407405</v>
      </c>
      <c r="AN238">
        <f t="shared" si="72"/>
        <v>3252.962962962963</v>
      </c>
      <c r="AO238">
        <f t="shared" si="73"/>
        <v>2565.3086419753085</v>
      </c>
      <c r="AP238">
        <f t="shared" si="74"/>
        <v>620.61728395061732</v>
      </c>
      <c r="AQ238">
        <f t="shared" si="75"/>
        <v>11.604938271604938</v>
      </c>
      <c r="AR238">
        <f t="shared" si="76"/>
        <v>67.037037037037038</v>
      </c>
      <c r="AS238">
        <f t="shared" si="77"/>
        <v>58.691631992602872</v>
      </c>
      <c r="AT238">
        <f t="shared" si="78"/>
        <v>0.4854368932038835</v>
      </c>
      <c r="AU238">
        <f t="shared" si="79"/>
        <v>8.9415158070515002</v>
      </c>
      <c r="AV238">
        <f t="shared" si="80"/>
        <v>0.35674978177539945</v>
      </c>
      <c r="AW238">
        <f t="shared" si="81"/>
        <v>19.078522904095031</v>
      </c>
      <c r="AX238">
        <f t="shared" si="82"/>
        <v>2.0607992713195946</v>
      </c>
      <c r="AY238">
        <f t="shared" si="83"/>
        <v>155.17633674630264</v>
      </c>
      <c r="AZ238">
        <f t="shared" si="84"/>
        <v>290.8641975308642</v>
      </c>
      <c r="BA238">
        <f t="shared" si="85"/>
        <v>2.5925925925925926</v>
      </c>
      <c r="BB238" t="s">
        <v>33</v>
      </c>
      <c r="BC238" t="s">
        <v>33</v>
      </c>
      <c r="BD238">
        <v>43.26</v>
      </c>
      <c r="BE238">
        <v>8.1</v>
      </c>
      <c r="BF238">
        <v>7.89</v>
      </c>
      <c r="BG238">
        <v>0.21</v>
      </c>
      <c r="BH238">
        <v>25.39</v>
      </c>
      <c r="BI238">
        <v>31806</v>
      </c>
      <c r="BJ238">
        <v>20779</v>
      </c>
      <c r="BK238">
        <v>94</v>
      </c>
      <c r="BL238">
        <v>2152</v>
      </c>
      <c r="BM238">
        <v>82</v>
      </c>
      <c r="BN238">
        <v>2356</v>
      </c>
      <c r="BO238">
        <v>437</v>
      </c>
      <c r="BP238">
        <v>40</v>
      </c>
      <c r="BQ238">
        <v>409</v>
      </c>
      <c r="BR238">
        <v>5456</v>
      </c>
      <c r="BS238" t="s">
        <v>21</v>
      </c>
      <c r="BT238" t="s">
        <v>770</v>
      </c>
      <c r="BU238">
        <v>0.4</v>
      </c>
      <c r="BV238">
        <v>0</v>
      </c>
      <c r="BW238">
        <v>0</v>
      </c>
      <c r="BX238">
        <v>0.1</v>
      </c>
      <c r="BY238">
        <v>52.1</v>
      </c>
      <c r="BZ238">
        <v>52.5</v>
      </c>
      <c r="CA238">
        <v>0</v>
      </c>
      <c r="CB238">
        <v>0</v>
      </c>
      <c r="CC238">
        <v>0</v>
      </c>
      <c r="CD238">
        <f t="shared" si="86"/>
        <v>7.6190476190476364E-3</v>
      </c>
      <c r="CE238">
        <v>0</v>
      </c>
    </row>
    <row r="239" spans="1:83" x14ac:dyDescent="0.4">
      <c r="A239" t="s">
        <v>1186</v>
      </c>
      <c r="B239" t="s">
        <v>49</v>
      </c>
      <c r="C239" t="s">
        <v>73</v>
      </c>
      <c r="D239" t="s">
        <v>82</v>
      </c>
      <c r="E239" t="s">
        <v>49</v>
      </c>
      <c r="F239" t="s">
        <v>22</v>
      </c>
      <c r="G239">
        <v>50</v>
      </c>
      <c r="H239">
        <v>58</v>
      </c>
      <c r="I239">
        <v>61.5</v>
      </c>
      <c r="J239">
        <f t="shared" si="70"/>
        <v>-11.5</v>
      </c>
      <c r="K239">
        <f t="shared" si="71"/>
        <v>-3.5</v>
      </c>
      <c r="L239">
        <v>-8</v>
      </c>
      <c r="M239">
        <v>61.54</v>
      </c>
      <c r="N239" t="s">
        <v>774</v>
      </c>
      <c r="O239" t="s">
        <v>775</v>
      </c>
      <c r="P239" t="s">
        <v>13</v>
      </c>
      <c r="Q239">
        <v>4.0999999999999996</v>
      </c>
      <c r="R239" t="s">
        <v>26</v>
      </c>
      <c r="S239" t="s">
        <v>15</v>
      </c>
      <c r="T239" t="s">
        <v>17</v>
      </c>
      <c r="U239">
        <v>7.5</v>
      </c>
      <c r="V239" t="s">
        <v>14</v>
      </c>
      <c r="W239" t="s">
        <v>52</v>
      </c>
      <c r="X239" t="s">
        <v>14</v>
      </c>
      <c r="Y239" t="s">
        <v>17</v>
      </c>
      <c r="Z239">
        <v>0</v>
      </c>
      <c r="AA239">
        <f t="shared" si="66"/>
        <v>5190.559120073327</v>
      </c>
      <c r="AB239">
        <f t="shared" si="67"/>
        <v>60.219981668194315</v>
      </c>
      <c r="AC239">
        <f t="shared" si="68"/>
        <v>32.447296058661777</v>
      </c>
      <c r="AD239" t="s">
        <v>15</v>
      </c>
      <c r="AE239" t="s">
        <v>37</v>
      </c>
      <c r="AF239" t="s">
        <v>18</v>
      </c>
      <c r="AG239" t="s">
        <v>14</v>
      </c>
      <c r="AH239" t="s">
        <v>17</v>
      </c>
      <c r="AI239" t="s">
        <v>18</v>
      </c>
      <c r="AJ239" t="s">
        <v>14</v>
      </c>
      <c r="AK239" t="s">
        <v>14</v>
      </c>
      <c r="AL239" t="s">
        <v>14</v>
      </c>
      <c r="AM239">
        <f t="shared" si="69"/>
        <v>53.881278538812786</v>
      </c>
      <c r="AN239">
        <f t="shared" si="72"/>
        <v>8012.4809741248091</v>
      </c>
      <c r="AO239">
        <f t="shared" si="73"/>
        <v>5304.566210045662</v>
      </c>
      <c r="AP239">
        <f t="shared" si="74"/>
        <v>1640.7914764079146</v>
      </c>
      <c r="AQ239">
        <f t="shared" si="75"/>
        <v>810.65449010654481</v>
      </c>
      <c r="AR239">
        <f t="shared" si="76"/>
        <v>1067.1232876712329</v>
      </c>
      <c r="AS239">
        <f t="shared" si="77"/>
        <v>30.155820348304307</v>
      </c>
      <c r="AT239">
        <f t="shared" si="78"/>
        <v>27.772685609532537</v>
      </c>
      <c r="AU239">
        <f t="shared" si="79"/>
        <v>13.479731013259375</v>
      </c>
      <c r="AV239">
        <f t="shared" si="80"/>
        <v>10.117396755442423</v>
      </c>
      <c r="AW239">
        <f t="shared" si="81"/>
        <v>20.477945366817369</v>
      </c>
      <c r="AX239">
        <f t="shared" si="82"/>
        <v>13.318262983929182</v>
      </c>
      <c r="AY239">
        <f t="shared" si="83"/>
        <v>910.82949308755758</v>
      </c>
      <c r="AZ239">
        <f t="shared" si="84"/>
        <v>1080.0608828006089</v>
      </c>
      <c r="BA239">
        <f t="shared" si="85"/>
        <v>46.118721461187214</v>
      </c>
      <c r="BB239" t="s">
        <v>52</v>
      </c>
      <c r="BC239" t="s">
        <v>52</v>
      </c>
      <c r="BD239">
        <v>10.91</v>
      </c>
      <c r="BE239">
        <v>6.57</v>
      </c>
      <c r="BF239">
        <v>3.54</v>
      </c>
      <c r="BG239">
        <v>3.03</v>
      </c>
      <c r="BH239">
        <v>3.29</v>
      </c>
      <c r="BI239">
        <v>56629</v>
      </c>
      <c r="BJ239">
        <v>34851</v>
      </c>
      <c r="BK239">
        <v>5326</v>
      </c>
      <c r="BL239">
        <v>2606</v>
      </c>
      <c r="BM239">
        <v>822</v>
      </c>
      <c r="BN239">
        <v>7096</v>
      </c>
      <c r="BO239">
        <v>256</v>
      </c>
      <c r="BP239">
        <v>1334</v>
      </c>
      <c r="BQ239">
        <v>351</v>
      </c>
      <c r="BR239">
        <v>3953</v>
      </c>
      <c r="BS239" t="s">
        <v>21</v>
      </c>
      <c r="BT239" t="s">
        <v>773</v>
      </c>
      <c r="BU239">
        <v>0</v>
      </c>
      <c r="BV239">
        <v>0.8</v>
      </c>
      <c r="BW239">
        <v>0</v>
      </c>
      <c r="BX239">
        <v>1.2</v>
      </c>
      <c r="BY239">
        <v>13.4</v>
      </c>
      <c r="BZ239">
        <v>14.2</v>
      </c>
      <c r="CA239">
        <v>10</v>
      </c>
      <c r="CB239">
        <v>10</v>
      </c>
      <c r="CC239">
        <v>0</v>
      </c>
      <c r="CD239">
        <f t="shared" si="86"/>
        <v>5.6338028169014009E-2</v>
      </c>
      <c r="CE239">
        <v>1</v>
      </c>
    </row>
    <row r="240" spans="1:83" x14ac:dyDescent="0.4">
      <c r="A240" t="s">
        <v>1187</v>
      </c>
      <c r="B240" t="s">
        <v>34</v>
      </c>
      <c r="C240" t="s">
        <v>34</v>
      </c>
      <c r="D240" t="s">
        <v>34</v>
      </c>
      <c r="E240" t="s">
        <v>49</v>
      </c>
      <c r="F240" t="s">
        <v>22</v>
      </c>
      <c r="G240">
        <v>20</v>
      </c>
      <c r="H240">
        <v>35</v>
      </c>
      <c r="I240">
        <v>26</v>
      </c>
      <c r="J240">
        <f t="shared" si="70"/>
        <v>-6</v>
      </c>
      <c r="K240">
        <f t="shared" si="71"/>
        <v>9</v>
      </c>
      <c r="L240">
        <v>-15</v>
      </c>
      <c r="M240">
        <v>26.11</v>
      </c>
      <c r="N240" t="s">
        <v>776</v>
      </c>
      <c r="O240" t="s">
        <v>777</v>
      </c>
      <c r="P240" t="s">
        <v>13</v>
      </c>
      <c r="Q240">
        <v>0.2</v>
      </c>
      <c r="R240" t="s">
        <v>13</v>
      </c>
      <c r="S240" t="s">
        <v>15</v>
      </c>
      <c r="T240" t="s">
        <v>14</v>
      </c>
      <c r="U240">
        <v>7.5</v>
      </c>
      <c r="V240" t="s">
        <v>14</v>
      </c>
      <c r="W240">
        <f>BC240/BB240</f>
        <v>1</v>
      </c>
      <c r="X240" t="s">
        <v>14</v>
      </c>
      <c r="Y240" t="s">
        <v>14</v>
      </c>
      <c r="Z240">
        <v>0</v>
      </c>
      <c r="AA240">
        <f t="shared" si="66"/>
        <v>4014.1640042598506</v>
      </c>
      <c r="AB240">
        <f t="shared" si="67"/>
        <v>72.630457933972309</v>
      </c>
      <c r="AC240">
        <f t="shared" si="68"/>
        <v>19.701810436634716</v>
      </c>
      <c r="AD240" t="s">
        <v>37</v>
      </c>
      <c r="AE240" t="s">
        <v>27</v>
      </c>
      <c r="AF240" t="s">
        <v>24</v>
      </c>
      <c r="AG240" t="s">
        <v>14</v>
      </c>
      <c r="AH240" t="s">
        <v>14</v>
      </c>
      <c r="AI240" t="s">
        <v>18</v>
      </c>
      <c r="AJ240" t="s">
        <v>14</v>
      </c>
      <c r="AK240" t="s">
        <v>14</v>
      </c>
      <c r="AL240" t="s">
        <v>17</v>
      </c>
      <c r="AM240">
        <f t="shared" si="69"/>
        <v>27.126099706744867</v>
      </c>
      <c r="AN240">
        <f t="shared" si="72"/>
        <v>5265.3958944281521</v>
      </c>
      <c r="AO240">
        <f t="shared" si="73"/>
        <v>1442.8152492668621</v>
      </c>
      <c r="AP240">
        <f t="shared" si="74"/>
        <v>801.46627565982396</v>
      </c>
      <c r="AQ240">
        <f t="shared" si="75"/>
        <v>2750.4398826979473</v>
      </c>
      <c r="AR240">
        <f t="shared" si="76"/>
        <v>3021.1143695014662</v>
      </c>
      <c r="AS240">
        <f t="shared" si="77"/>
        <v>13.84451544195953</v>
      </c>
      <c r="AT240">
        <f t="shared" si="78"/>
        <v>52.822151224707135</v>
      </c>
      <c r="AU240">
        <f t="shared" si="79"/>
        <v>11.581732108047898</v>
      </c>
      <c r="AV240">
        <f t="shared" si="80"/>
        <v>52.236145920356449</v>
      </c>
      <c r="AW240">
        <f t="shared" si="81"/>
        <v>15.221386800334169</v>
      </c>
      <c r="AX240">
        <f t="shared" si="82"/>
        <v>57.376775271512116</v>
      </c>
      <c r="AY240">
        <f t="shared" si="83"/>
        <v>667.31517509727621</v>
      </c>
      <c r="AZ240">
        <f t="shared" si="84"/>
        <v>609.82404692082105</v>
      </c>
      <c r="BA240">
        <f t="shared" si="85"/>
        <v>72.72727272727272</v>
      </c>
      <c r="BB240" t="s">
        <v>31</v>
      </c>
      <c r="BC240" t="s">
        <v>31</v>
      </c>
      <c r="BD240">
        <v>9.39</v>
      </c>
      <c r="BE240">
        <v>6.82</v>
      </c>
      <c r="BF240">
        <v>1.85</v>
      </c>
      <c r="BG240">
        <v>4.96</v>
      </c>
      <c r="BH240">
        <v>1.3</v>
      </c>
      <c r="BI240">
        <v>37693</v>
      </c>
      <c r="BJ240">
        <v>9840</v>
      </c>
      <c r="BK240">
        <v>18758</v>
      </c>
      <c r="BL240">
        <v>567</v>
      </c>
      <c r="BM240">
        <v>323</v>
      </c>
      <c r="BN240">
        <v>4159</v>
      </c>
      <c r="BO240">
        <v>417</v>
      </c>
      <c r="BP240">
        <v>1023</v>
      </c>
      <c r="BQ240">
        <v>823</v>
      </c>
      <c r="BR240">
        <v>1715</v>
      </c>
      <c r="BS240" t="s">
        <v>21</v>
      </c>
      <c r="BT240" t="s">
        <v>489</v>
      </c>
      <c r="BU240">
        <v>0</v>
      </c>
      <c r="BV240">
        <v>0</v>
      </c>
      <c r="BW240">
        <v>0</v>
      </c>
      <c r="BX240">
        <v>0.2</v>
      </c>
      <c r="BY240">
        <v>11.3</v>
      </c>
      <c r="BZ240">
        <v>11.3</v>
      </c>
      <c r="CA240">
        <v>2</v>
      </c>
      <c r="CB240">
        <v>2</v>
      </c>
      <c r="CC240">
        <v>0</v>
      </c>
      <c r="CD240">
        <f t="shared" si="86"/>
        <v>0</v>
      </c>
      <c r="CE240">
        <v>1</v>
      </c>
    </row>
    <row r="241" spans="1:83" x14ac:dyDescent="0.4">
      <c r="A241" t="s">
        <v>1188</v>
      </c>
      <c r="B241" t="s">
        <v>34</v>
      </c>
      <c r="C241" t="s">
        <v>34</v>
      </c>
      <c r="D241" t="s">
        <v>34</v>
      </c>
      <c r="E241" t="s">
        <v>49</v>
      </c>
      <c r="F241" t="s">
        <v>32</v>
      </c>
      <c r="G241">
        <v>20</v>
      </c>
      <c r="H241">
        <v>32</v>
      </c>
      <c r="I241">
        <v>76.5</v>
      </c>
      <c r="J241">
        <f t="shared" si="70"/>
        <v>-56.5</v>
      </c>
      <c r="K241">
        <f t="shared" si="71"/>
        <v>-44.5</v>
      </c>
      <c r="L241">
        <v>-12</v>
      </c>
      <c r="M241">
        <v>76.61</v>
      </c>
      <c r="N241" t="s">
        <v>779</v>
      </c>
      <c r="O241" t="s">
        <v>780</v>
      </c>
      <c r="P241" t="s">
        <v>13</v>
      </c>
      <c r="Q241">
        <v>0.2</v>
      </c>
      <c r="R241" t="s">
        <v>13</v>
      </c>
      <c r="S241" t="s">
        <v>15</v>
      </c>
      <c r="T241" t="s">
        <v>14</v>
      </c>
      <c r="U241">
        <v>2.5</v>
      </c>
      <c r="V241" t="s">
        <v>14</v>
      </c>
      <c r="W241">
        <v>0</v>
      </c>
      <c r="X241" t="s">
        <v>14</v>
      </c>
      <c r="Y241" t="s">
        <v>14</v>
      </c>
      <c r="Z241">
        <v>0</v>
      </c>
      <c r="AA241">
        <f t="shared" si="66"/>
        <v>1099.5592286501378</v>
      </c>
      <c r="AB241">
        <f t="shared" si="67"/>
        <v>20.165289256198349</v>
      </c>
      <c r="AC241">
        <f t="shared" si="68"/>
        <v>19.944903581267219</v>
      </c>
      <c r="AD241" t="s">
        <v>27</v>
      </c>
      <c r="AE241" t="s">
        <v>15</v>
      </c>
      <c r="AF241" t="s">
        <v>18</v>
      </c>
      <c r="AG241" t="s">
        <v>14</v>
      </c>
      <c r="AH241" t="s">
        <v>14</v>
      </c>
      <c r="AI241" t="s">
        <v>14</v>
      </c>
      <c r="AJ241" t="s">
        <v>14</v>
      </c>
      <c r="AK241" t="s">
        <v>14</v>
      </c>
      <c r="AL241" t="s">
        <v>14</v>
      </c>
      <c r="AM241">
        <f t="shared" si="69"/>
        <v>98.907103825136602</v>
      </c>
      <c r="AN241">
        <f t="shared" si="72"/>
        <v>5389.0710382513662</v>
      </c>
      <c r="AO241">
        <f t="shared" si="73"/>
        <v>4177.5956284153008</v>
      </c>
      <c r="AP241">
        <f t="shared" si="74"/>
        <v>1147.5409836065573</v>
      </c>
      <c r="AQ241">
        <f t="shared" si="75"/>
        <v>20.218579234972676</v>
      </c>
      <c r="AR241">
        <f t="shared" si="76"/>
        <v>63.934426229508198</v>
      </c>
      <c r="AS241">
        <f t="shared" si="77"/>
        <v>78.402203856749324</v>
      </c>
      <c r="AT241">
        <f t="shared" si="78"/>
        <v>0.22038567493112948</v>
      </c>
      <c r="AU241">
        <f t="shared" si="79"/>
        <v>8.8673697018860267</v>
      </c>
      <c r="AV241">
        <f t="shared" si="80"/>
        <v>0.37517744879334819</v>
      </c>
      <c r="AW241">
        <f t="shared" si="81"/>
        <v>21.293855201784627</v>
      </c>
      <c r="AX241">
        <f t="shared" si="82"/>
        <v>1.1863719326708579</v>
      </c>
      <c r="AY241">
        <f t="shared" si="83"/>
        <v>16.011042097998622</v>
      </c>
      <c r="AZ241">
        <f t="shared" si="84"/>
        <v>477.86885245901635</v>
      </c>
      <c r="BA241">
        <f t="shared" si="85"/>
        <v>1.0928961748633879</v>
      </c>
      <c r="BB241" t="s">
        <v>33</v>
      </c>
      <c r="BC241" t="s">
        <v>33</v>
      </c>
      <c r="BD241">
        <v>18.149999999999999</v>
      </c>
      <c r="BE241">
        <v>3.66</v>
      </c>
      <c r="BF241">
        <v>3.62</v>
      </c>
      <c r="BG241">
        <v>0.04</v>
      </c>
      <c r="BH241">
        <v>14.23</v>
      </c>
      <c r="BI241">
        <v>19957</v>
      </c>
      <c r="BJ241">
        <v>15290</v>
      </c>
      <c r="BK241">
        <v>74</v>
      </c>
      <c r="BL241">
        <v>2213</v>
      </c>
      <c r="BM241">
        <v>99</v>
      </c>
      <c r="BN241">
        <v>1749</v>
      </c>
      <c r="BO241">
        <v>139</v>
      </c>
      <c r="BP241">
        <v>10</v>
      </c>
      <c r="BQ241">
        <v>150</v>
      </c>
      <c r="BR241">
        <v>232</v>
      </c>
      <c r="BS241" t="s">
        <v>21</v>
      </c>
      <c r="BT241" t="s">
        <v>778</v>
      </c>
      <c r="BU241">
        <v>0</v>
      </c>
      <c r="BV241">
        <v>0</v>
      </c>
      <c r="BW241">
        <v>0</v>
      </c>
      <c r="BX241">
        <v>0.1</v>
      </c>
      <c r="BY241">
        <v>36.200000000000003</v>
      </c>
      <c r="BZ241">
        <v>36.299999999999997</v>
      </c>
      <c r="CA241">
        <v>0</v>
      </c>
      <c r="CB241">
        <v>0</v>
      </c>
      <c r="CC241">
        <v>0</v>
      </c>
      <c r="CD241">
        <f t="shared" si="86"/>
        <v>2.7548209366389242E-3</v>
      </c>
      <c r="CE241">
        <v>0</v>
      </c>
    </row>
    <row r="242" spans="1:83" x14ac:dyDescent="0.4">
      <c r="A242" t="s">
        <v>1189</v>
      </c>
      <c r="B242" t="s">
        <v>49</v>
      </c>
      <c r="C242" t="s">
        <v>73</v>
      </c>
      <c r="D242" t="s">
        <v>82</v>
      </c>
      <c r="E242" t="s">
        <v>49</v>
      </c>
      <c r="F242" t="s">
        <v>12</v>
      </c>
      <c r="G242">
        <v>50</v>
      </c>
      <c r="H242">
        <v>13</v>
      </c>
      <c r="I242">
        <v>24</v>
      </c>
      <c r="J242">
        <f t="shared" si="70"/>
        <v>26</v>
      </c>
      <c r="K242">
        <f t="shared" si="71"/>
        <v>-11</v>
      </c>
      <c r="L242">
        <v>37</v>
      </c>
      <c r="M242">
        <v>24.14</v>
      </c>
      <c r="N242" t="s">
        <v>782</v>
      </c>
      <c r="O242" t="s">
        <v>783</v>
      </c>
      <c r="P242" t="s">
        <v>13</v>
      </c>
      <c r="Q242">
        <v>0.9</v>
      </c>
      <c r="R242" t="s">
        <v>13</v>
      </c>
      <c r="S242" t="s">
        <v>15</v>
      </c>
      <c r="T242" t="s">
        <v>14</v>
      </c>
      <c r="U242">
        <v>0</v>
      </c>
      <c r="V242" t="s">
        <v>14</v>
      </c>
      <c r="W242">
        <f>BC242/BB242</f>
        <v>1</v>
      </c>
      <c r="X242" t="s">
        <v>14</v>
      </c>
      <c r="Y242" t="s">
        <v>14</v>
      </c>
      <c r="Z242">
        <v>0</v>
      </c>
      <c r="AA242">
        <f t="shared" si="66"/>
        <v>2929.414835164835</v>
      </c>
      <c r="AB242">
        <f t="shared" si="67"/>
        <v>38.579670329670328</v>
      </c>
      <c r="AC242">
        <f t="shared" si="68"/>
        <v>17.793956043956044</v>
      </c>
      <c r="AD242" t="s">
        <v>27</v>
      </c>
      <c r="AE242" t="s">
        <v>36</v>
      </c>
      <c r="AF242" t="s">
        <v>18</v>
      </c>
      <c r="AG242" t="s">
        <v>14</v>
      </c>
      <c r="AH242" t="s">
        <v>17</v>
      </c>
      <c r="AI242" t="s">
        <v>24</v>
      </c>
      <c r="AJ242" t="s">
        <v>17</v>
      </c>
      <c r="AK242" t="s">
        <v>14</v>
      </c>
      <c r="AL242" t="s">
        <v>14</v>
      </c>
      <c r="AM242">
        <f t="shared" si="69"/>
        <v>46.122623371074553</v>
      </c>
      <c r="AN242">
        <f t="shared" si="72"/>
        <v>5647.2192551449116</v>
      </c>
      <c r="AO242">
        <f t="shared" si="73"/>
        <v>1832.7921384319588</v>
      </c>
      <c r="AP242">
        <f t="shared" si="74"/>
        <v>2901.36010823898</v>
      </c>
      <c r="AQ242">
        <f t="shared" si="75"/>
        <v>795.02243110446477</v>
      </c>
      <c r="AR242">
        <f t="shared" si="76"/>
        <v>913.06700847397281</v>
      </c>
      <c r="AS242">
        <f t="shared" si="77"/>
        <v>44.56318681318681</v>
      </c>
      <c r="AT242">
        <f t="shared" si="78"/>
        <v>20.78846153846154</v>
      </c>
      <c r="AU242">
        <f t="shared" si="79"/>
        <v>27.097028015015656</v>
      </c>
      <c r="AV242">
        <f t="shared" si="80"/>
        <v>14.078122261326365</v>
      </c>
      <c r="AW242">
        <f t="shared" si="81"/>
        <v>51.376792314123264</v>
      </c>
      <c r="AX242">
        <f t="shared" si="82"/>
        <v>16.168435600266822</v>
      </c>
      <c r="AY242">
        <f t="shared" si="83"/>
        <v>1218.7815896587199</v>
      </c>
      <c r="AZ242">
        <f t="shared" si="84"/>
        <v>1530.2285836359752</v>
      </c>
      <c r="BA242">
        <f t="shared" si="85"/>
        <v>53.884497614469844</v>
      </c>
      <c r="BB242" t="s">
        <v>16</v>
      </c>
      <c r="BC242" t="s">
        <v>16</v>
      </c>
      <c r="BD242">
        <v>364</v>
      </c>
      <c r="BE242">
        <v>140.43</v>
      </c>
      <c r="BF242">
        <v>64.77</v>
      </c>
      <c r="BG242">
        <v>75.67</v>
      </c>
      <c r="BH242">
        <v>162.21</v>
      </c>
      <c r="BI242">
        <v>1066307</v>
      </c>
      <c r="BJ242">
        <v>257379</v>
      </c>
      <c r="BK242">
        <v>111645</v>
      </c>
      <c r="BL242">
        <v>121888</v>
      </c>
      <c r="BM242">
        <v>62799</v>
      </c>
      <c r="BN242">
        <v>214890</v>
      </c>
      <c r="BO242">
        <v>7861</v>
      </c>
      <c r="BP242">
        <v>14493</v>
      </c>
      <c r="BQ242">
        <v>2084</v>
      </c>
      <c r="BR242">
        <v>272483</v>
      </c>
      <c r="BS242" t="s">
        <v>21</v>
      </c>
      <c r="BT242" t="s">
        <v>781</v>
      </c>
      <c r="BU242">
        <v>0.2</v>
      </c>
      <c r="BV242">
        <v>0.1</v>
      </c>
      <c r="BW242">
        <v>0</v>
      </c>
      <c r="BX242">
        <v>0</v>
      </c>
      <c r="BY242">
        <v>372.6</v>
      </c>
      <c r="BZ242">
        <v>376.9</v>
      </c>
      <c r="CA242">
        <v>1</v>
      </c>
      <c r="CB242">
        <v>1</v>
      </c>
      <c r="CC242">
        <v>0</v>
      </c>
      <c r="CD242">
        <f t="shared" si="86"/>
        <v>1.1408861767046807E-2</v>
      </c>
      <c r="CE242">
        <v>1</v>
      </c>
    </row>
    <row r="243" spans="1:83" x14ac:dyDescent="0.4">
      <c r="A243" t="s">
        <v>1190</v>
      </c>
      <c r="B243" t="s">
        <v>42</v>
      </c>
      <c r="C243" t="s">
        <v>82</v>
      </c>
      <c r="D243" t="s">
        <v>82</v>
      </c>
      <c r="E243" t="s">
        <v>49</v>
      </c>
      <c r="F243" t="s">
        <v>12</v>
      </c>
      <c r="G243">
        <v>30</v>
      </c>
      <c r="H243">
        <v>20</v>
      </c>
      <c r="I243">
        <v>38</v>
      </c>
      <c r="J243">
        <f t="shared" si="70"/>
        <v>-8</v>
      </c>
      <c r="K243">
        <f t="shared" si="71"/>
        <v>-18</v>
      </c>
      <c r="L243">
        <v>10</v>
      </c>
      <c r="M243">
        <v>37.97</v>
      </c>
      <c r="N243" t="s">
        <v>785</v>
      </c>
      <c r="O243" t="s">
        <v>786</v>
      </c>
      <c r="P243" t="s">
        <v>26</v>
      </c>
      <c r="Q243">
        <v>14.9</v>
      </c>
      <c r="R243" t="s">
        <v>13</v>
      </c>
      <c r="S243" t="s">
        <v>27</v>
      </c>
      <c r="T243" t="s">
        <v>17</v>
      </c>
      <c r="U243">
        <v>17.5</v>
      </c>
      <c r="V243" t="s">
        <v>17</v>
      </c>
      <c r="W243" t="s">
        <v>52</v>
      </c>
      <c r="X243" t="s">
        <v>14</v>
      </c>
      <c r="Y243" t="s">
        <v>17</v>
      </c>
      <c r="Z243">
        <v>10</v>
      </c>
      <c r="AA243">
        <f t="shared" si="66"/>
        <v>3718.0943630762581</v>
      </c>
      <c r="AB243">
        <f t="shared" si="67"/>
        <v>61.233313516727016</v>
      </c>
      <c r="AC243">
        <f t="shared" si="68"/>
        <v>21.001999675728261</v>
      </c>
      <c r="AD243" t="s">
        <v>37</v>
      </c>
      <c r="AE243" t="s">
        <v>27</v>
      </c>
      <c r="AF243" t="s">
        <v>18</v>
      </c>
      <c r="AG243" t="s">
        <v>14</v>
      </c>
      <c r="AH243" t="s">
        <v>17</v>
      </c>
      <c r="AI243" t="s">
        <v>24</v>
      </c>
      <c r="AJ243" t="s">
        <v>14</v>
      </c>
      <c r="AK243" t="s">
        <v>17</v>
      </c>
      <c r="AL243" t="s">
        <v>14</v>
      </c>
      <c r="AM243">
        <f t="shared" si="69"/>
        <v>34.298323036187114</v>
      </c>
      <c r="AN243">
        <f t="shared" si="72"/>
        <v>4889.6381288614302</v>
      </c>
      <c r="AO243">
        <f t="shared" si="73"/>
        <v>2305.5428067078551</v>
      </c>
      <c r="AP243">
        <f t="shared" si="74"/>
        <v>1568.3583406884379</v>
      </c>
      <c r="AQ243">
        <f t="shared" si="75"/>
        <v>670.48543689320388</v>
      </c>
      <c r="AR243">
        <f t="shared" si="76"/>
        <v>1015.7369814651369</v>
      </c>
      <c r="AS243">
        <f t="shared" si="77"/>
        <v>10.619899475760686</v>
      </c>
      <c r="AT243">
        <f t="shared" si="78"/>
        <v>40.225909312003466</v>
      </c>
      <c r="AU243">
        <f t="shared" si="79"/>
        <v>15.769608444826316</v>
      </c>
      <c r="AV243">
        <f t="shared" si="80"/>
        <v>13.712373374537</v>
      </c>
      <c r="AW243">
        <f t="shared" si="81"/>
        <v>32.075141336760552</v>
      </c>
      <c r="AX243">
        <f t="shared" si="82"/>
        <v>20.77325468053921</v>
      </c>
      <c r="AY243">
        <f t="shared" si="83"/>
        <v>1849.8675589014358</v>
      </c>
      <c r="AZ243">
        <f t="shared" si="84"/>
        <v>771.07678729037957</v>
      </c>
      <c r="BA243">
        <f t="shared" si="85"/>
        <v>65.692850838481917</v>
      </c>
      <c r="BB243" t="s">
        <v>52</v>
      </c>
      <c r="BC243" t="s">
        <v>52</v>
      </c>
      <c r="BD243">
        <v>185.03</v>
      </c>
      <c r="BE243">
        <v>113.3</v>
      </c>
      <c r="BF243">
        <v>38.86</v>
      </c>
      <c r="BG243">
        <v>74.430000000000007</v>
      </c>
      <c r="BH243">
        <v>19.649999999999999</v>
      </c>
      <c r="BI243">
        <v>687959</v>
      </c>
      <c r="BJ243">
        <v>261218</v>
      </c>
      <c r="BK243">
        <v>75966</v>
      </c>
      <c r="BL243">
        <v>66948</v>
      </c>
      <c r="BM243">
        <v>7776</v>
      </c>
      <c r="BN243">
        <v>87363</v>
      </c>
      <c r="BO243">
        <v>15608</v>
      </c>
      <c r="BP243">
        <v>21873</v>
      </c>
      <c r="BQ243">
        <v>17244</v>
      </c>
      <c r="BR243">
        <v>132691</v>
      </c>
      <c r="BS243" t="s">
        <v>21</v>
      </c>
      <c r="BT243" t="s">
        <v>784</v>
      </c>
      <c r="BU243">
        <v>0</v>
      </c>
      <c r="BV243">
        <v>5.9</v>
      </c>
      <c r="BW243">
        <v>0.6</v>
      </c>
      <c r="BX243">
        <v>1.1000000000000001</v>
      </c>
      <c r="BY243">
        <v>239.6</v>
      </c>
      <c r="BZ243">
        <v>309.39999999999998</v>
      </c>
      <c r="CA243">
        <v>10</v>
      </c>
      <c r="CB243">
        <v>10</v>
      </c>
      <c r="CC243">
        <v>0</v>
      </c>
      <c r="CD243">
        <f t="shared" si="86"/>
        <v>0.2255979314802844</v>
      </c>
      <c r="CE243">
        <v>1</v>
      </c>
    </row>
    <row r="244" spans="1:83" x14ac:dyDescent="0.4">
      <c r="A244" t="s">
        <v>1191</v>
      </c>
      <c r="B244" t="s">
        <v>43</v>
      </c>
      <c r="C244" t="s">
        <v>82</v>
      </c>
      <c r="D244" t="s">
        <v>82</v>
      </c>
      <c r="E244" t="s">
        <v>49</v>
      </c>
      <c r="F244" t="s">
        <v>22</v>
      </c>
      <c r="G244">
        <v>20</v>
      </c>
      <c r="H244">
        <v>54</v>
      </c>
      <c r="I244">
        <v>47.5</v>
      </c>
      <c r="J244">
        <f t="shared" si="70"/>
        <v>-27.5</v>
      </c>
      <c r="K244">
        <f t="shared" si="71"/>
        <v>6.5</v>
      </c>
      <c r="L244">
        <v>-34</v>
      </c>
      <c r="M244">
        <v>47.39</v>
      </c>
      <c r="N244" t="s">
        <v>787</v>
      </c>
      <c r="O244" t="s">
        <v>788</v>
      </c>
      <c r="P244" t="s">
        <v>26</v>
      </c>
      <c r="Q244">
        <v>11.3</v>
      </c>
      <c r="R244" t="s">
        <v>26</v>
      </c>
      <c r="S244" t="s">
        <v>15</v>
      </c>
      <c r="T244" t="s">
        <v>14</v>
      </c>
      <c r="U244">
        <v>20</v>
      </c>
      <c r="V244" t="s">
        <v>17</v>
      </c>
      <c r="W244">
        <f>BC244/BB244</f>
        <v>0.66666666666666663</v>
      </c>
      <c r="X244" t="s">
        <v>14</v>
      </c>
      <c r="Y244" t="s">
        <v>14</v>
      </c>
      <c r="Z244">
        <v>0</v>
      </c>
      <c r="AA244">
        <f t="shared" si="66"/>
        <v>4017.818181818182</v>
      </c>
      <c r="AB244">
        <f t="shared" si="67"/>
        <v>91.999999999999986</v>
      </c>
      <c r="AC244">
        <f t="shared" si="68"/>
        <v>28.363636363636363</v>
      </c>
      <c r="AD244" t="s">
        <v>15</v>
      </c>
      <c r="AE244" t="s">
        <v>15</v>
      </c>
      <c r="AF244" t="s">
        <v>24</v>
      </c>
      <c r="AG244" t="s">
        <v>14</v>
      </c>
      <c r="AH244" t="s">
        <v>17</v>
      </c>
      <c r="AI244" t="s">
        <v>18</v>
      </c>
      <c r="AJ244" t="s">
        <v>14</v>
      </c>
      <c r="AK244" t="s">
        <v>14</v>
      </c>
      <c r="AL244" t="s">
        <v>14</v>
      </c>
      <c r="AM244">
        <f t="shared" si="69"/>
        <v>30.830039525691703</v>
      </c>
      <c r="AN244">
        <f t="shared" si="72"/>
        <v>4288.142292490119</v>
      </c>
      <c r="AO244">
        <f t="shared" si="73"/>
        <v>2069.5652173913045</v>
      </c>
      <c r="AP244">
        <f t="shared" si="74"/>
        <v>277.86561264822137</v>
      </c>
      <c r="AQ244">
        <f t="shared" si="75"/>
        <v>1267.5889328063242</v>
      </c>
      <c r="AR244">
        <f t="shared" si="76"/>
        <v>1940.711462450593</v>
      </c>
      <c r="AS244">
        <f t="shared" si="77"/>
        <v>2.9090909090909092</v>
      </c>
      <c r="AT244">
        <f t="shared" si="78"/>
        <v>63.636363636363633</v>
      </c>
      <c r="AU244">
        <f t="shared" si="79"/>
        <v>4.0648907733431656</v>
      </c>
      <c r="AV244">
        <f t="shared" si="80"/>
        <v>29.560328140842476</v>
      </c>
      <c r="AW244">
        <f t="shared" si="81"/>
        <v>6.4798598949211907</v>
      </c>
      <c r="AX244">
        <f t="shared" si="82"/>
        <v>45.257627431099642</v>
      </c>
      <c r="AY244">
        <f t="shared" si="83"/>
        <v>895.4545454545447</v>
      </c>
      <c r="AZ244">
        <f t="shared" si="84"/>
        <v>174.30830039525694</v>
      </c>
      <c r="BA244">
        <f t="shared" si="85"/>
        <v>69.169960474308311</v>
      </c>
      <c r="BB244" t="s">
        <v>40</v>
      </c>
      <c r="BC244" t="s">
        <v>28</v>
      </c>
      <c r="BD244">
        <v>2.75</v>
      </c>
      <c r="BE244">
        <v>2.5299999999999998</v>
      </c>
      <c r="BF244">
        <v>0.78</v>
      </c>
      <c r="BG244">
        <v>1.75</v>
      </c>
      <c r="BH244">
        <v>0.08</v>
      </c>
      <c r="BI244">
        <v>11049</v>
      </c>
      <c r="BJ244">
        <v>5236</v>
      </c>
      <c r="BK244">
        <v>3207</v>
      </c>
      <c r="BL244">
        <v>123</v>
      </c>
      <c r="BM244">
        <v>56</v>
      </c>
      <c r="BN244">
        <v>441</v>
      </c>
      <c r="BO244">
        <v>83</v>
      </c>
      <c r="BP244">
        <v>427</v>
      </c>
      <c r="BQ244">
        <v>1276</v>
      </c>
      <c r="BR244">
        <v>197</v>
      </c>
      <c r="BS244" t="s">
        <v>21</v>
      </c>
      <c r="BT244" t="s">
        <v>175</v>
      </c>
      <c r="BU244">
        <v>0</v>
      </c>
      <c r="BV244">
        <v>3.6</v>
      </c>
      <c r="BW244">
        <v>0</v>
      </c>
      <c r="BX244">
        <v>1.3</v>
      </c>
      <c r="BY244">
        <v>5.9</v>
      </c>
      <c r="BZ244">
        <v>7.1</v>
      </c>
      <c r="CA244">
        <v>6</v>
      </c>
      <c r="CB244">
        <v>4</v>
      </c>
      <c r="CC244">
        <v>0</v>
      </c>
      <c r="CD244">
        <f t="shared" si="86"/>
        <v>0.16901408450704214</v>
      </c>
      <c r="CE244">
        <v>0.66666666666666663</v>
      </c>
    </row>
    <row r="245" spans="1:83" x14ac:dyDescent="0.4">
      <c r="A245" t="s">
        <v>1192</v>
      </c>
      <c r="B245" t="s">
        <v>64</v>
      </c>
      <c r="C245" t="s">
        <v>82</v>
      </c>
      <c r="D245" t="s">
        <v>82</v>
      </c>
      <c r="E245" t="s">
        <v>49</v>
      </c>
      <c r="F245" t="s">
        <v>32</v>
      </c>
      <c r="G245">
        <v>60</v>
      </c>
      <c r="H245">
        <v>46</v>
      </c>
      <c r="I245">
        <v>63</v>
      </c>
      <c r="J245">
        <f t="shared" si="70"/>
        <v>-3</v>
      </c>
      <c r="K245">
        <f t="shared" si="71"/>
        <v>-17</v>
      </c>
      <c r="L245">
        <v>14</v>
      </c>
      <c r="M245">
        <v>63.09</v>
      </c>
      <c r="N245" t="s">
        <v>790</v>
      </c>
      <c r="O245" t="s">
        <v>791</v>
      </c>
      <c r="P245" t="s">
        <v>13</v>
      </c>
      <c r="Q245">
        <v>0.1</v>
      </c>
      <c r="R245" t="s">
        <v>13</v>
      </c>
      <c r="S245" t="s">
        <v>15</v>
      </c>
      <c r="T245" t="s">
        <v>14</v>
      </c>
      <c r="U245">
        <v>0</v>
      </c>
      <c r="V245" t="s">
        <v>14</v>
      </c>
      <c r="W245">
        <v>0</v>
      </c>
      <c r="X245" t="s">
        <v>14</v>
      </c>
      <c r="Y245" t="s">
        <v>14</v>
      </c>
      <c r="Z245">
        <v>0</v>
      </c>
      <c r="AA245">
        <f t="shared" si="66"/>
        <v>2273.9630533286859</v>
      </c>
      <c r="AB245">
        <f t="shared" si="67"/>
        <v>47.159288950853956</v>
      </c>
      <c r="AC245">
        <f t="shared" si="68"/>
        <v>40.467061693970024</v>
      </c>
      <c r="AD245" t="s">
        <v>27</v>
      </c>
      <c r="AE245" t="s">
        <v>15</v>
      </c>
      <c r="AF245" t="s">
        <v>18</v>
      </c>
      <c r="AG245" t="s">
        <v>14</v>
      </c>
      <c r="AH245" t="s">
        <v>14</v>
      </c>
      <c r="AI245" t="s">
        <v>14</v>
      </c>
      <c r="AJ245" t="s">
        <v>14</v>
      </c>
      <c r="AK245" t="s">
        <v>14</v>
      </c>
      <c r="AL245" t="s">
        <v>14</v>
      </c>
      <c r="AM245">
        <f t="shared" si="69"/>
        <v>85.809312638580934</v>
      </c>
      <c r="AN245">
        <f t="shared" si="72"/>
        <v>4399.3348115299341</v>
      </c>
      <c r="AO245">
        <f t="shared" si="73"/>
        <v>3042.3503325942352</v>
      </c>
      <c r="AP245">
        <f t="shared" si="74"/>
        <v>1321.4338507021434</v>
      </c>
      <c r="AQ245">
        <f t="shared" si="75"/>
        <v>11.086474501108649</v>
      </c>
      <c r="AR245">
        <f t="shared" si="76"/>
        <v>35.550628233555067</v>
      </c>
      <c r="AS245">
        <f t="shared" si="77"/>
        <v>33.844545137678637</v>
      </c>
      <c r="AT245">
        <f t="shared" si="78"/>
        <v>6.6573719065876613</v>
      </c>
      <c r="AU245">
        <f t="shared" si="79"/>
        <v>22.969272382104396</v>
      </c>
      <c r="AV245">
        <f t="shared" si="80"/>
        <v>0.25200342724661057</v>
      </c>
      <c r="AW245">
        <f t="shared" si="81"/>
        <v>30.037128504947667</v>
      </c>
      <c r="AX245">
        <f t="shared" si="82"/>
        <v>0.80809099003746454</v>
      </c>
      <c r="AY245">
        <f t="shared" si="83"/>
        <v>360.88390501319259</v>
      </c>
      <c r="AZ245">
        <f t="shared" si="84"/>
        <v>1010.4951958610495</v>
      </c>
      <c r="BA245">
        <f t="shared" si="85"/>
        <v>14.116777531411678</v>
      </c>
      <c r="BB245" t="s">
        <v>33</v>
      </c>
      <c r="BC245" t="s">
        <v>33</v>
      </c>
      <c r="BD245">
        <v>28.69</v>
      </c>
      <c r="BE245">
        <v>13.53</v>
      </c>
      <c r="BF245">
        <v>11.61</v>
      </c>
      <c r="BG245">
        <v>1.91</v>
      </c>
      <c r="BH245">
        <v>9.7100000000000009</v>
      </c>
      <c r="BI245">
        <v>65240</v>
      </c>
      <c r="BJ245">
        <v>41163</v>
      </c>
      <c r="BK245">
        <v>150</v>
      </c>
      <c r="BL245">
        <v>2469</v>
      </c>
      <c r="BM245">
        <v>304</v>
      </c>
      <c r="BN245">
        <v>13672</v>
      </c>
      <c r="BO245">
        <v>1434</v>
      </c>
      <c r="BP245">
        <v>84</v>
      </c>
      <c r="BQ245">
        <v>247</v>
      </c>
      <c r="BR245">
        <v>5471</v>
      </c>
      <c r="BS245" t="s">
        <v>21</v>
      </c>
      <c r="BT245" t="s">
        <v>789</v>
      </c>
      <c r="BU245">
        <v>0</v>
      </c>
      <c r="BV245">
        <v>0</v>
      </c>
      <c r="BW245">
        <v>0</v>
      </c>
      <c r="BX245">
        <v>0</v>
      </c>
      <c r="BY245">
        <v>34.9</v>
      </c>
      <c r="BZ245">
        <v>34.9</v>
      </c>
      <c r="CA245">
        <v>0</v>
      </c>
      <c r="CB245">
        <v>0</v>
      </c>
      <c r="CC245">
        <v>0</v>
      </c>
      <c r="CD245">
        <f t="shared" si="86"/>
        <v>0</v>
      </c>
      <c r="CE245">
        <v>0</v>
      </c>
    </row>
    <row r="246" spans="1:83" x14ac:dyDescent="0.4">
      <c r="A246" t="s">
        <v>1193</v>
      </c>
      <c r="B246" t="s">
        <v>64</v>
      </c>
      <c r="C246" t="s">
        <v>82</v>
      </c>
      <c r="D246" t="s">
        <v>82</v>
      </c>
      <c r="E246" t="s">
        <v>49</v>
      </c>
      <c r="F246" t="s">
        <v>32</v>
      </c>
      <c r="G246">
        <v>40</v>
      </c>
      <c r="H246">
        <v>37</v>
      </c>
      <c r="I246">
        <v>2.5</v>
      </c>
      <c r="J246">
        <f t="shared" si="70"/>
        <v>37.5</v>
      </c>
      <c r="K246">
        <f t="shared" si="71"/>
        <v>34.5</v>
      </c>
      <c r="L246">
        <v>3</v>
      </c>
      <c r="M246">
        <v>2.41</v>
      </c>
      <c r="N246" t="s">
        <v>792</v>
      </c>
      <c r="O246" t="s">
        <v>793</v>
      </c>
      <c r="P246" t="s">
        <v>26</v>
      </c>
      <c r="Q246">
        <v>6.4</v>
      </c>
      <c r="R246" t="s">
        <v>38</v>
      </c>
      <c r="S246" t="s">
        <v>15</v>
      </c>
      <c r="T246" t="s">
        <v>14</v>
      </c>
      <c r="U246">
        <v>25</v>
      </c>
      <c r="V246" t="s">
        <v>17</v>
      </c>
      <c r="W246">
        <v>0</v>
      </c>
      <c r="X246" t="s">
        <v>14</v>
      </c>
      <c r="Y246" t="s">
        <v>14</v>
      </c>
      <c r="Z246">
        <v>80</v>
      </c>
      <c r="AA246">
        <f t="shared" si="66"/>
        <v>1844.4444444444446</v>
      </c>
      <c r="AB246">
        <f t="shared" si="67"/>
        <v>0</v>
      </c>
      <c r="AC246">
        <f t="shared" si="68"/>
        <v>0</v>
      </c>
      <c r="AD246" t="s">
        <v>15</v>
      </c>
      <c r="AE246" t="s">
        <v>15</v>
      </c>
      <c r="AF246" t="s">
        <v>18</v>
      </c>
      <c r="AG246" t="s">
        <v>14</v>
      </c>
      <c r="AH246" t="s">
        <v>14</v>
      </c>
      <c r="AI246" t="s">
        <v>14</v>
      </c>
      <c r="AJ246" t="s">
        <v>14</v>
      </c>
      <c r="AK246" t="s">
        <v>14</v>
      </c>
      <c r="AL246" t="s">
        <v>14</v>
      </c>
      <c r="AM246">
        <v>0</v>
      </c>
      <c r="AN246">
        <v>0</v>
      </c>
      <c r="AO246">
        <v>0</v>
      </c>
      <c r="AP246">
        <v>0</v>
      </c>
      <c r="AQ246" t="e">
        <f t="shared" si="75"/>
        <v>#DIV/0!</v>
      </c>
      <c r="AR246" t="e">
        <f t="shared" si="76"/>
        <v>#DIV/0!</v>
      </c>
      <c r="AS246">
        <f t="shared" si="77"/>
        <v>0</v>
      </c>
      <c r="AT246">
        <f t="shared" si="78"/>
        <v>0</v>
      </c>
      <c r="AU246">
        <f t="shared" si="79"/>
        <v>61.53846153846154</v>
      </c>
      <c r="AV246">
        <f t="shared" si="80"/>
        <v>0</v>
      </c>
      <c r="AW246">
        <f t="shared" si="81"/>
        <v>61.53846153846154</v>
      </c>
      <c r="AX246">
        <f t="shared" si="82"/>
        <v>7.6923076923076925</v>
      </c>
      <c r="AY246">
        <f t="shared" si="83"/>
        <v>1700</v>
      </c>
      <c r="AZ246" t="e">
        <f t="shared" si="84"/>
        <v>#DIV/0!</v>
      </c>
      <c r="BA246" t="e">
        <f t="shared" si="85"/>
        <v>#DIV/0!</v>
      </c>
      <c r="BB246" t="s">
        <v>33</v>
      </c>
      <c r="BC246" t="s">
        <v>33</v>
      </c>
      <c r="BD246">
        <v>0.09</v>
      </c>
      <c r="BE246">
        <v>0</v>
      </c>
      <c r="BF246">
        <v>0</v>
      </c>
      <c r="BG246">
        <v>0</v>
      </c>
      <c r="BH246">
        <v>0</v>
      </c>
      <c r="BI246">
        <v>166</v>
      </c>
      <c r="BJ246">
        <v>4</v>
      </c>
      <c r="BK246">
        <v>0</v>
      </c>
      <c r="BL246">
        <v>0</v>
      </c>
      <c r="BM246">
        <v>0</v>
      </c>
      <c r="BN246">
        <v>8</v>
      </c>
      <c r="BO246">
        <v>0</v>
      </c>
      <c r="BP246">
        <v>1</v>
      </c>
      <c r="BQ246">
        <v>0</v>
      </c>
      <c r="BR246">
        <v>153</v>
      </c>
      <c r="BS246" t="s">
        <v>44</v>
      </c>
      <c r="BT246" t="s">
        <v>165</v>
      </c>
      <c r="BU246">
        <v>0</v>
      </c>
      <c r="BV246">
        <v>0</v>
      </c>
      <c r="BW246">
        <v>0</v>
      </c>
      <c r="BX246">
        <v>2.7</v>
      </c>
      <c r="BY246">
        <v>0.3</v>
      </c>
      <c r="BZ246">
        <v>0.4</v>
      </c>
      <c r="CA246">
        <v>0</v>
      </c>
      <c r="CB246">
        <v>0</v>
      </c>
      <c r="CC246">
        <v>0</v>
      </c>
      <c r="CD246">
        <f t="shared" si="86"/>
        <v>0.25000000000000011</v>
      </c>
      <c r="CE246">
        <v>0</v>
      </c>
    </row>
    <row r="247" spans="1:83" x14ac:dyDescent="0.4">
      <c r="A247" t="s">
        <v>1194</v>
      </c>
      <c r="B247" t="s">
        <v>49</v>
      </c>
      <c r="C247" t="s">
        <v>73</v>
      </c>
      <c r="D247" t="s">
        <v>82</v>
      </c>
      <c r="E247" t="s">
        <v>49</v>
      </c>
      <c r="F247" t="s">
        <v>22</v>
      </c>
      <c r="G247">
        <v>30</v>
      </c>
      <c r="H247">
        <v>20</v>
      </c>
      <c r="I247">
        <v>41</v>
      </c>
      <c r="J247">
        <f t="shared" si="70"/>
        <v>-11</v>
      </c>
      <c r="K247">
        <f t="shared" si="71"/>
        <v>-21</v>
      </c>
      <c r="L247">
        <v>10</v>
      </c>
      <c r="M247">
        <v>40.86</v>
      </c>
      <c r="N247" t="s">
        <v>722</v>
      </c>
      <c r="O247" t="s">
        <v>723</v>
      </c>
      <c r="P247" t="s">
        <v>13</v>
      </c>
      <c r="Q247">
        <v>0.2</v>
      </c>
      <c r="R247" t="s">
        <v>13</v>
      </c>
      <c r="S247" t="s">
        <v>27</v>
      </c>
      <c r="T247" t="s">
        <v>14</v>
      </c>
      <c r="U247">
        <v>25</v>
      </c>
      <c r="V247" t="s">
        <v>17</v>
      </c>
      <c r="W247" t="s">
        <v>52</v>
      </c>
      <c r="X247" t="s">
        <v>14</v>
      </c>
      <c r="Y247" t="s">
        <v>17</v>
      </c>
      <c r="Z247">
        <v>0</v>
      </c>
      <c r="AA247">
        <f t="shared" si="66"/>
        <v>1842.5628140703518</v>
      </c>
      <c r="AB247">
        <f t="shared" si="67"/>
        <v>28.140703517587941</v>
      </c>
      <c r="AC247">
        <f t="shared" si="68"/>
        <v>13.41708542713568</v>
      </c>
      <c r="AD247" t="s">
        <v>15</v>
      </c>
      <c r="AE247" t="s">
        <v>36</v>
      </c>
      <c r="AF247" t="s">
        <v>18</v>
      </c>
      <c r="AG247" t="s">
        <v>14</v>
      </c>
      <c r="AH247" t="s">
        <v>14</v>
      </c>
      <c r="AI247" t="s">
        <v>18</v>
      </c>
      <c r="AJ247" t="s">
        <v>14</v>
      </c>
      <c r="AK247" t="s">
        <v>14</v>
      </c>
      <c r="AL247" t="s">
        <v>14</v>
      </c>
      <c r="AM247">
        <f t="shared" ref="AM247:AM278" si="87">BF247*100/BE247</f>
        <v>47.678571428571431</v>
      </c>
      <c r="AN247">
        <f t="shared" si="72"/>
        <v>4886.6071428571431</v>
      </c>
      <c r="AO247">
        <f t="shared" si="73"/>
        <v>2675.3571428571431</v>
      </c>
      <c r="AP247">
        <f t="shared" si="74"/>
        <v>811.42857142857144</v>
      </c>
      <c r="AQ247">
        <f t="shared" si="75"/>
        <v>1126.6071428571429</v>
      </c>
      <c r="AR247">
        <f t="shared" si="76"/>
        <v>1399.8214285714287</v>
      </c>
      <c r="AS247">
        <f t="shared" si="77"/>
        <v>52.462311557788951</v>
      </c>
      <c r="AT247">
        <f t="shared" si="78"/>
        <v>14.723618090452263</v>
      </c>
      <c r="AU247">
        <f t="shared" si="79"/>
        <v>7.9006029599853829</v>
      </c>
      <c r="AV247">
        <f t="shared" si="80"/>
        <v>23.054997259272795</v>
      </c>
      <c r="AW247">
        <f t="shared" si="81"/>
        <v>16.605152567147815</v>
      </c>
      <c r="AX247">
        <f t="shared" si="82"/>
        <v>28.64608076009501</v>
      </c>
      <c r="AY247">
        <f t="shared" si="83"/>
        <v>643.70629370629376</v>
      </c>
      <c r="AZ247">
        <f t="shared" si="84"/>
        <v>386.07142857142861</v>
      </c>
      <c r="BA247">
        <f t="shared" si="85"/>
        <v>52.321428571428577</v>
      </c>
      <c r="BB247" t="s">
        <v>52</v>
      </c>
      <c r="BC247" t="s">
        <v>52</v>
      </c>
      <c r="BD247">
        <v>19.899999999999999</v>
      </c>
      <c r="BE247">
        <v>5.6</v>
      </c>
      <c r="BF247">
        <v>2.67</v>
      </c>
      <c r="BG247">
        <v>2.93</v>
      </c>
      <c r="BH247">
        <v>10.44</v>
      </c>
      <c r="BI247">
        <v>36667</v>
      </c>
      <c r="BJ247">
        <v>14982</v>
      </c>
      <c r="BK247">
        <v>6309</v>
      </c>
      <c r="BL247">
        <v>880</v>
      </c>
      <c r="BM247">
        <v>689</v>
      </c>
      <c r="BN247">
        <v>2162</v>
      </c>
      <c r="BO247">
        <v>813</v>
      </c>
      <c r="BP247">
        <v>931</v>
      </c>
      <c r="BQ247">
        <v>599</v>
      </c>
      <c r="BR247">
        <v>9205</v>
      </c>
      <c r="BS247" t="s">
        <v>21</v>
      </c>
      <c r="BT247" t="s">
        <v>794</v>
      </c>
      <c r="BU247">
        <v>0</v>
      </c>
      <c r="BV247">
        <v>0.3</v>
      </c>
      <c r="BW247">
        <v>0.1</v>
      </c>
      <c r="BX247">
        <v>1.7</v>
      </c>
      <c r="BY247">
        <v>26.8</v>
      </c>
      <c r="BZ247">
        <v>27.4</v>
      </c>
      <c r="CA247">
        <v>10</v>
      </c>
      <c r="CB247">
        <v>10</v>
      </c>
      <c r="CC247">
        <v>0</v>
      </c>
      <c r="CD247">
        <f t="shared" si="86"/>
        <v>2.1897810218978075E-2</v>
      </c>
      <c r="CE247">
        <v>1</v>
      </c>
    </row>
    <row r="248" spans="1:83" x14ac:dyDescent="0.4">
      <c r="A248" t="s">
        <v>1195</v>
      </c>
      <c r="B248" t="s">
        <v>34</v>
      </c>
      <c r="C248" t="s">
        <v>34</v>
      </c>
      <c r="D248" t="s">
        <v>34</v>
      </c>
      <c r="E248" t="s">
        <v>49</v>
      </c>
      <c r="F248" t="s">
        <v>32</v>
      </c>
      <c r="G248">
        <v>20</v>
      </c>
      <c r="H248">
        <v>20</v>
      </c>
      <c r="I248">
        <v>26.5</v>
      </c>
      <c r="J248">
        <f t="shared" si="70"/>
        <v>-6.5</v>
      </c>
      <c r="K248">
        <f t="shared" si="71"/>
        <v>-6.5</v>
      </c>
      <c r="L248">
        <v>0</v>
      </c>
      <c r="M248">
        <v>26.68</v>
      </c>
      <c r="N248" t="s">
        <v>796</v>
      </c>
      <c r="O248" t="s">
        <v>797</v>
      </c>
      <c r="P248" t="s">
        <v>13</v>
      </c>
      <c r="Q248">
        <v>0</v>
      </c>
      <c r="R248" t="s">
        <v>13</v>
      </c>
      <c r="S248" t="s">
        <v>27</v>
      </c>
      <c r="T248" t="s">
        <v>14</v>
      </c>
      <c r="U248">
        <v>2.5</v>
      </c>
      <c r="V248" t="s">
        <v>14</v>
      </c>
      <c r="W248">
        <v>0</v>
      </c>
      <c r="X248" t="s">
        <v>14</v>
      </c>
      <c r="Y248" t="s">
        <v>14</v>
      </c>
      <c r="Z248">
        <v>0</v>
      </c>
      <c r="AA248">
        <f t="shared" si="66"/>
        <v>525.95555555555552</v>
      </c>
      <c r="AB248">
        <f t="shared" si="67"/>
        <v>5.0222222222222213</v>
      </c>
      <c r="AC248">
        <f t="shared" si="68"/>
        <v>4.5777777777777775</v>
      </c>
      <c r="AD248" t="s">
        <v>36</v>
      </c>
      <c r="AE248" t="s">
        <v>15</v>
      </c>
      <c r="AF248" t="s">
        <v>18</v>
      </c>
      <c r="AG248" t="s">
        <v>14</v>
      </c>
      <c r="AH248" t="s">
        <v>14</v>
      </c>
      <c r="AI248" t="s">
        <v>14</v>
      </c>
      <c r="AJ248" t="s">
        <v>14</v>
      </c>
      <c r="AK248" t="s">
        <v>14</v>
      </c>
      <c r="AL248" t="s">
        <v>14</v>
      </c>
      <c r="AM248">
        <f t="shared" si="87"/>
        <v>91.150442477876112</v>
      </c>
      <c r="AN248">
        <f t="shared" si="72"/>
        <v>3912.389380530974</v>
      </c>
      <c r="AO248">
        <f t="shared" si="73"/>
        <v>2793.8053097345137</v>
      </c>
      <c r="AP248">
        <f t="shared" si="74"/>
        <v>863.71681415929208</v>
      </c>
      <c r="AQ248">
        <f t="shared" si="75"/>
        <v>56.637168141592923</v>
      </c>
      <c r="AR248">
        <f t="shared" si="76"/>
        <v>254.86725663716817</v>
      </c>
      <c r="AS248">
        <f t="shared" si="77"/>
        <v>65.37777777777778</v>
      </c>
      <c r="AT248">
        <f t="shared" si="78"/>
        <v>0.44444444444444442</v>
      </c>
      <c r="AU248">
        <f t="shared" si="79"/>
        <v>2.7595566613888263</v>
      </c>
      <c r="AV248">
        <f t="shared" si="80"/>
        <v>1.4476362813843022</v>
      </c>
      <c r="AW248">
        <f t="shared" si="81"/>
        <v>22.07645329111061</v>
      </c>
      <c r="AX248">
        <f t="shared" si="82"/>
        <v>6.5143632662293598</v>
      </c>
      <c r="AY248">
        <f t="shared" si="83"/>
        <v>346.8413664014974</v>
      </c>
      <c r="AZ248">
        <f t="shared" si="84"/>
        <v>107.96460176991151</v>
      </c>
      <c r="BA248">
        <f t="shared" si="85"/>
        <v>8.8495575221238951</v>
      </c>
      <c r="BB248" t="s">
        <v>33</v>
      </c>
      <c r="BC248" t="s">
        <v>33</v>
      </c>
      <c r="BD248">
        <v>22.5</v>
      </c>
      <c r="BE248">
        <v>1.1299999999999999</v>
      </c>
      <c r="BF248">
        <v>1.03</v>
      </c>
      <c r="BG248">
        <v>0.1</v>
      </c>
      <c r="BH248">
        <v>14.71</v>
      </c>
      <c r="BI248">
        <v>11834</v>
      </c>
      <c r="BJ248">
        <v>3157</v>
      </c>
      <c r="BK248">
        <v>64</v>
      </c>
      <c r="BL248">
        <v>792</v>
      </c>
      <c r="BM248">
        <v>6</v>
      </c>
      <c r="BN248">
        <v>122</v>
      </c>
      <c r="BO248">
        <v>56</v>
      </c>
      <c r="BP248">
        <v>38</v>
      </c>
      <c r="BQ248">
        <v>186</v>
      </c>
      <c r="BR248">
        <v>7412</v>
      </c>
      <c r="BS248" t="s">
        <v>44</v>
      </c>
      <c r="BT248" t="s">
        <v>795</v>
      </c>
      <c r="BU248">
        <v>0.1</v>
      </c>
      <c r="BV248">
        <v>0</v>
      </c>
      <c r="BW248">
        <v>0</v>
      </c>
      <c r="BX248">
        <v>0</v>
      </c>
      <c r="BY248">
        <v>25.5</v>
      </c>
      <c r="BZ248">
        <v>25.5</v>
      </c>
      <c r="CA248">
        <v>0</v>
      </c>
      <c r="CB248">
        <v>0</v>
      </c>
      <c r="CC248">
        <v>0</v>
      </c>
      <c r="CD248">
        <f t="shared" si="86"/>
        <v>0</v>
      </c>
      <c r="CE248">
        <v>0</v>
      </c>
    </row>
    <row r="249" spans="1:83" x14ac:dyDescent="0.4">
      <c r="A249" t="s">
        <v>1196</v>
      </c>
      <c r="B249" t="s">
        <v>49</v>
      </c>
      <c r="C249" t="s">
        <v>73</v>
      </c>
      <c r="D249" t="s">
        <v>82</v>
      </c>
      <c r="E249" t="s">
        <v>49</v>
      </c>
      <c r="F249" t="s">
        <v>32</v>
      </c>
      <c r="G249">
        <v>50</v>
      </c>
      <c r="H249">
        <v>26</v>
      </c>
      <c r="I249">
        <v>13</v>
      </c>
      <c r="J249">
        <f t="shared" si="70"/>
        <v>37</v>
      </c>
      <c r="K249">
        <f t="shared" si="71"/>
        <v>13</v>
      </c>
      <c r="L249">
        <v>24</v>
      </c>
      <c r="M249">
        <v>13.01</v>
      </c>
      <c r="N249" t="s">
        <v>798</v>
      </c>
      <c r="O249" t="s">
        <v>799</v>
      </c>
      <c r="P249" t="s">
        <v>13</v>
      </c>
      <c r="Q249">
        <v>0.1</v>
      </c>
      <c r="R249" t="s">
        <v>26</v>
      </c>
      <c r="S249" t="s">
        <v>15</v>
      </c>
      <c r="T249" t="s">
        <v>14</v>
      </c>
      <c r="U249">
        <v>2.5</v>
      </c>
      <c r="V249" t="s">
        <v>14</v>
      </c>
      <c r="W249">
        <v>0</v>
      </c>
      <c r="X249" t="s">
        <v>14</v>
      </c>
      <c r="Y249" t="s">
        <v>14</v>
      </c>
      <c r="Z249">
        <v>0</v>
      </c>
      <c r="AA249">
        <f t="shared" si="66"/>
        <v>440.90714591356436</v>
      </c>
      <c r="AB249">
        <f t="shared" si="67"/>
        <v>4.8352588789045781</v>
      </c>
      <c r="AC249">
        <f t="shared" si="68"/>
        <v>4.4929396662387671</v>
      </c>
      <c r="AD249" t="s">
        <v>36</v>
      </c>
      <c r="AE249" t="s">
        <v>15</v>
      </c>
      <c r="AF249" t="s">
        <v>18</v>
      </c>
      <c r="AG249" t="s">
        <v>14</v>
      </c>
      <c r="AH249" t="s">
        <v>14</v>
      </c>
      <c r="AI249" t="s">
        <v>14</v>
      </c>
      <c r="AJ249" t="s">
        <v>14</v>
      </c>
      <c r="AK249" t="s">
        <v>14</v>
      </c>
      <c r="AL249" t="s">
        <v>14</v>
      </c>
      <c r="AM249">
        <f t="shared" si="87"/>
        <v>92.920353982300895</v>
      </c>
      <c r="AN249">
        <f t="shared" si="72"/>
        <v>2436.7256637168143</v>
      </c>
      <c r="AO249">
        <f t="shared" si="73"/>
        <v>1186.283185840708</v>
      </c>
      <c r="AP249">
        <f t="shared" si="74"/>
        <v>1052.6548672566373</v>
      </c>
      <c r="AQ249">
        <f t="shared" si="75"/>
        <v>55.752212389380539</v>
      </c>
      <c r="AR249">
        <f t="shared" si="76"/>
        <v>197.78761061946904</v>
      </c>
      <c r="AS249">
        <f t="shared" si="77"/>
        <v>38.083012409071458</v>
      </c>
      <c r="AT249">
        <f t="shared" si="78"/>
        <v>0.3209242618741977</v>
      </c>
      <c r="AU249">
        <f t="shared" si="79"/>
        <v>6.1739604140185218</v>
      </c>
      <c r="AV249">
        <f t="shared" si="80"/>
        <v>2.287997094606864</v>
      </c>
      <c r="AW249">
        <f t="shared" si="81"/>
        <v>43.199564191029602</v>
      </c>
      <c r="AX249">
        <f t="shared" si="82"/>
        <v>8.1169420737243509</v>
      </c>
      <c r="AY249">
        <f t="shared" si="83"/>
        <v>339.45593525179851</v>
      </c>
      <c r="AZ249">
        <f t="shared" si="84"/>
        <v>150.44247787610621</v>
      </c>
      <c r="BA249">
        <f t="shared" si="85"/>
        <v>6.6371681415929213</v>
      </c>
      <c r="BB249" t="s">
        <v>33</v>
      </c>
      <c r="BC249" t="s">
        <v>33</v>
      </c>
      <c r="BD249">
        <v>46.74</v>
      </c>
      <c r="BE249">
        <v>2.2599999999999998</v>
      </c>
      <c r="BF249">
        <v>2.1</v>
      </c>
      <c r="BG249">
        <v>0.15</v>
      </c>
      <c r="BH249">
        <v>17.8</v>
      </c>
      <c r="BI249">
        <v>20608</v>
      </c>
      <c r="BJ249">
        <v>2681</v>
      </c>
      <c r="BK249">
        <v>126</v>
      </c>
      <c r="BL249">
        <v>1911</v>
      </c>
      <c r="BM249">
        <v>43</v>
      </c>
      <c r="BN249">
        <v>340</v>
      </c>
      <c r="BO249">
        <v>85</v>
      </c>
      <c r="BP249">
        <v>102</v>
      </c>
      <c r="BQ249">
        <v>219</v>
      </c>
      <c r="BR249">
        <v>15099</v>
      </c>
      <c r="BS249" t="s">
        <v>44</v>
      </c>
      <c r="BT249" t="s">
        <v>499</v>
      </c>
      <c r="BU249">
        <v>0</v>
      </c>
      <c r="BV249">
        <v>0</v>
      </c>
      <c r="BW249">
        <v>0</v>
      </c>
      <c r="BX249">
        <v>0</v>
      </c>
      <c r="BY249">
        <v>71.2</v>
      </c>
      <c r="BZ249">
        <v>71.3</v>
      </c>
      <c r="CA249">
        <v>0</v>
      </c>
      <c r="CB249">
        <v>0</v>
      </c>
      <c r="CC249">
        <v>0</v>
      </c>
      <c r="CD249">
        <f t="shared" si="86"/>
        <v>1.4025245441794398E-3</v>
      </c>
      <c r="CE249">
        <v>0</v>
      </c>
    </row>
    <row r="250" spans="1:83" x14ac:dyDescent="0.4">
      <c r="A250" t="s">
        <v>1197</v>
      </c>
      <c r="B250" t="s">
        <v>49</v>
      </c>
      <c r="C250" t="s">
        <v>73</v>
      </c>
      <c r="D250" t="s">
        <v>82</v>
      </c>
      <c r="E250" t="s">
        <v>49</v>
      </c>
      <c r="F250" t="s">
        <v>22</v>
      </c>
      <c r="G250">
        <v>50</v>
      </c>
      <c r="H250">
        <v>20</v>
      </c>
      <c r="I250">
        <v>22</v>
      </c>
      <c r="J250">
        <f t="shared" si="70"/>
        <v>28</v>
      </c>
      <c r="K250">
        <f t="shared" si="71"/>
        <v>-2</v>
      </c>
      <c r="L250">
        <v>30</v>
      </c>
      <c r="M250">
        <v>22.19</v>
      </c>
      <c r="N250" t="s">
        <v>800</v>
      </c>
      <c r="O250" t="s">
        <v>801</v>
      </c>
      <c r="P250" t="s">
        <v>13</v>
      </c>
      <c r="Q250">
        <v>0.1</v>
      </c>
      <c r="R250" t="s">
        <v>26</v>
      </c>
      <c r="S250" t="s">
        <v>15</v>
      </c>
      <c r="T250" t="s">
        <v>14</v>
      </c>
      <c r="U250">
        <v>17.5</v>
      </c>
      <c r="V250" t="s">
        <v>17</v>
      </c>
      <c r="W250" t="s">
        <v>52</v>
      </c>
      <c r="X250" t="s">
        <v>14</v>
      </c>
      <c r="Y250" t="s">
        <v>17</v>
      </c>
      <c r="Z250">
        <v>0</v>
      </c>
      <c r="AA250">
        <f t="shared" si="66"/>
        <v>2168.728908886389</v>
      </c>
      <c r="AB250">
        <f t="shared" si="67"/>
        <v>62.879640044994375</v>
      </c>
      <c r="AC250">
        <f t="shared" si="68"/>
        <v>11.698537682789651</v>
      </c>
      <c r="AD250" t="s">
        <v>27</v>
      </c>
      <c r="AE250" t="s">
        <v>15</v>
      </c>
      <c r="AF250" t="s">
        <v>24</v>
      </c>
      <c r="AG250" t="s">
        <v>14</v>
      </c>
      <c r="AH250" t="s">
        <v>14</v>
      </c>
      <c r="AI250" t="s">
        <v>14</v>
      </c>
      <c r="AJ250" t="s">
        <v>14</v>
      </c>
      <c r="AK250" t="s">
        <v>14</v>
      </c>
      <c r="AL250" t="s">
        <v>14</v>
      </c>
      <c r="AM250">
        <f t="shared" si="87"/>
        <v>18.604651162790699</v>
      </c>
      <c r="AN250">
        <f t="shared" si="72"/>
        <v>2386.2254025044722</v>
      </c>
      <c r="AO250">
        <f t="shared" si="73"/>
        <v>765.29516994633275</v>
      </c>
      <c r="AP250">
        <f t="shared" si="74"/>
        <v>271.01967799642222</v>
      </c>
      <c r="AQ250">
        <f t="shared" si="75"/>
        <v>1252.772808586762</v>
      </c>
      <c r="AR250">
        <f t="shared" si="76"/>
        <v>1349.9105545617174</v>
      </c>
      <c r="AS250">
        <f t="shared" si="77"/>
        <v>1.6872890888638918</v>
      </c>
      <c r="AT250">
        <f t="shared" si="78"/>
        <v>51.181102362204719</v>
      </c>
      <c r="AU250">
        <f t="shared" si="79"/>
        <v>6.8146037933878105</v>
      </c>
      <c r="AV250">
        <f t="shared" si="80"/>
        <v>52.50018742034635</v>
      </c>
      <c r="AW250">
        <f t="shared" si="81"/>
        <v>11.357672988979683</v>
      </c>
      <c r="AX250">
        <f t="shared" si="82"/>
        <v>56.570957343129173</v>
      </c>
      <c r="AY250">
        <f t="shared" si="83"/>
        <v>1778.484848484848</v>
      </c>
      <c r="AZ250">
        <f t="shared" si="84"/>
        <v>162.61180679785332</v>
      </c>
      <c r="BA250">
        <f t="shared" si="85"/>
        <v>81.395348837209298</v>
      </c>
      <c r="BB250" t="s">
        <v>52</v>
      </c>
      <c r="BC250" t="s">
        <v>52</v>
      </c>
      <c r="BD250">
        <v>8.89</v>
      </c>
      <c r="BE250">
        <v>5.59</v>
      </c>
      <c r="BF250">
        <v>1.04</v>
      </c>
      <c r="BG250">
        <v>4.55</v>
      </c>
      <c r="BH250">
        <v>0.15</v>
      </c>
      <c r="BI250">
        <v>19280</v>
      </c>
      <c r="BJ250">
        <v>4278</v>
      </c>
      <c r="BK250">
        <v>7003</v>
      </c>
      <c r="BL250">
        <v>249</v>
      </c>
      <c r="BM250">
        <v>183</v>
      </c>
      <c r="BN250">
        <v>909</v>
      </c>
      <c r="BO250">
        <v>174</v>
      </c>
      <c r="BP250">
        <v>343</v>
      </c>
      <c r="BQ250">
        <v>200</v>
      </c>
      <c r="BR250">
        <v>5869</v>
      </c>
      <c r="BS250" t="s">
        <v>21</v>
      </c>
      <c r="BT250" t="s">
        <v>387</v>
      </c>
      <c r="BU250">
        <v>0</v>
      </c>
      <c r="BV250">
        <v>0.1</v>
      </c>
      <c r="BW250">
        <v>0</v>
      </c>
      <c r="BX250">
        <v>0.7</v>
      </c>
      <c r="BY250">
        <v>10.199999999999999</v>
      </c>
      <c r="BZ250">
        <v>10.3</v>
      </c>
      <c r="CA250">
        <v>10</v>
      </c>
      <c r="CB250">
        <v>10</v>
      </c>
      <c r="CC250">
        <v>0</v>
      </c>
      <c r="CD250">
        <f t="shared" si="86"/>
        <v>9.7087378640777766E-3</v>
      </c>
      <c r="CE250">
        <v>1</v>
      </c>
    </row>
    <row r="251" spans="1:83" x14ac:dyDescent="0.4">
      <c r="A251" t="s">
        <v>1198</v>
      </c>
      <c r="B251" t="s">
        <v>49</v>
      </c>
      <c r="C251" t="s">
        <v>73</v>
      </c>
      <c r="D251" t="s">
        <v>82</v>
      </c>
      <c r="E251" t="s">
        <v>49</v>
      </c>
      <c r="F251" t="s">
        <v>22</v>
      </c>
      <c r="G251">
        <v>90</v>
      </c>
      <c r="H251">
        <v>88</v>
      </c>
      <c r="I251">
        <v>71.5</v>
      </c>
      <c r="J251">
        <f t="shared" si="70"/>
        <v>18.5</v>
      </c>
      <c r="K251">
        <f t="shared" si="71"/>
        <v>16.5</v>
      </c>
      <c r="L251">
        <v>2</v>
      </c>
      <c r="M251">
        <v>71.62</v>
      </c>
      <c r="N251" t="s">
        <v>803</v>
      </c>
      <c r="O251" t="s">
        <v>804</v>
      </c>
      <c r="P251" t="s">
        <v>13</v>
      </c>
      <c r="Q251">
        <v>0.8</v>
      </c>
      <c r="R251" t="s">
        <v>13</v>
      </c>
      <c r="S251" t="s">
        <v>15</v>
      </c>
      <c r="T251" t="s">
        <v>14</v>
      </c>
      <c r="U251">
        <v>10</v>
      </c>
      <c r="V251" t="s">
        <v>17</v>
      </c>
      <c r="W251">
        <f>BC251/BB251</f>
        <v>1</v>
      </c>
      <c r="X251" t="s">
        <v>14</v>
      </c>
      <c r="Y251" t="s">
        <v>14</v>
      </c>
      <c r="Z251">
        <v>10</v>
      </c>
      <c r="AA251">
        <f t="shared" si="66"/>
        <v>6498.8505747126437</v>
      </c>
      <c r="AB251">
        <f t="shared" si="67"/>
        <v>57.902298850574716</v>
      </c>
      <c r="AC251">
        <f t="shared" si="68"/>
        <v>39.942528735632187</v>
      </c>
      <c r="AD251" t="s">
        <v>27</v>
      </c>
      <c r="AE251" t="s">
        <v>27</v>
      </c>
      <c r="AF251" t="s">
        <v>18</v>
      </c>
      <c r="AG251" t="s">
        <v>14</v>
      </c>
      <c r="AH251" t="s">
        <v>14</v>
      </c>
      <c r="AI251" t="s">
        <v>14</v>
      </c>
      <c r="AJ251" t="s">
        <v>14</v>
      </c>
      <c r="AK251" t="s">
        <v>14</v>
      </c>
      <c r="AL251" t="s">
        <v>14</v>
      </c>
      <c r="AM251">
        <f t="shared" si="87"/>
        <v>68.982630272952846</v>
      </c>
      <c r="AN251">
        <f t="shared" si="72"/>
        <v>9210.9181141439203</v>
      </c>
      <c r="AO251">
        <f t="shared" si="73"/>
        <v>8038.9578163771703</v>
      </c>
      <c r="AP251">
        <f t="shared" si="74"/>
        <v>387.84119106699751</v>
      </c>
      <c r="AQ251">
        <f t="shared" si="75"/>
        <v>436.97270471464014</v>
      </c>
      <c r="AR251">
        <f t="shared" si="76"/>
        <v>784.1191066997518</v>
      </c>
      <c r="AS251">
        <f t="shared" si="77"/>
        <v>7.1839080459770113</v>
      </c>
      <c r="AT251">
        <f t="shared" si="78"/>
        <v>17.959770114942529</v>
      </c>
      <c r="AU251">
        <f t="shared" si="79"/>
        <v>2.7505387931034484</v>
      </c>
      <c r="AV251">
        <f t="shared" si="80"/>
        <v>4.7440732758620694</v>
      </c>
      <c r="AW251">
        <f t="shared" si="81"/>
        <v>4.2106681034482758</v>
      </c>
      <c r="AX251">
        <f t="shared" si="82"/>
        <v>8.512931034482758</v>
      </c>
      <c r="AY251">
        <f t="shared" si="83"/>
        <v>2763.4812286689421</v>
      </c>
      <c r="AZ251">
        <f t="shared" si="84"/>
        <v>253.34987593052108</v>
      </c>
      <c r="BA251">
        <f t="shared" si="85"/>
        <v>31.017369727047143</v>
      </c>
      <c r="BB251" t="s">
        <v>28</v>
      </c>
      <c r="BC251" t="s">
        <v>28</v>
      </c>
      <c r="BD251">
        <v>6.96</v>
      </c>
      <c r="BE251">
        <v>4.03</v>
      </c>
      <c r="BF251">
        <v>2.78</v>
      </c>
      <c r="BG251">
        <v>1.25</v>
      </c>
      <c r="BH251">
        <v>0.5</v>
      </c>
      <c r="BI251">
        <v>45232</v>
      </c>
      <c r="BJ251">
        <v>32397</v>
      </c>
      <c r="BK251">
        <v>1761</v>
      </c>
      <c r="BL251">
        <v>212</v>
      </c>
      <c r="BM251">
        <v>100</v>
      </c>
      <c r="BN251">
        <v>1021</v>
      </c>
      <c r="BO251">
        <v>230</v>
      </c>
      <c r="BP251">
        <v>542</v>
      </c>
      <c r="BQ251">
        <v>857</v>
      </c>
      <c r="BR251">
        <v>8097</v>
      </c>
      <c r="BS251" t="s">
        <v>21</v>
      </c>
      <c r="BT251" t="s">
        <v>356</v>
      </c>
      <c r="BU251">
        <v>0</v>
      </c>
      <c r="BV251">
        <v>0.4</v>
      </c>
      <c r="BW251">
        <v>0</v>
      </c>
      <c r="BX251">
        <v>6.9</v>
      </c>
      <c r="BY251">
        <v>8</v>
      </c>
      <c r="BZ251">
        <v>8.6999999999999993</v>
      </c>
      <c r="CA251">
        <v>4</v>
      </c>
      <c r="CB251">
        <v>4</v>
      </c>
      <c r="CC251">
        <v>0</v>
      </c>
      <c r="CD251">
        <f t="shared" si="86"/>
        <v>8.045977011494243E-2</v>
      </c>
      <c r="CE251">
        <v>1</v>
      </c>
    </row>
    <row r="252" spans="1:83" x14ac:dyDescent="0.4">
      <c r="A252" t="s">
        <v>1199</v>
      </c>
      <c r="B252" t="s">
        <v>68</v>
      </c>
      <c r="C252" t="s">
        <v>82</v>
      </c>
      <c r="D252" t="s">
        <v>82</v>
      </c>
      <c r="E252" t="s">
        <v>49</v>
      </c>
      <c r="F252" t="s">
        <v>22</v>
      </c>
      <c r="G252">
        <v>40</v>
      </c>
      <c r="H252">
        <v>78</v>
      </c>
      <c r="I252">
        <v>30</v>
      </c>
      <c r="J252">
        <f t="shared" si="70"/>
        <v>10</v>
      </c>
      <c r="K252">
        <f t="shared" si="71"/>
        <v>48</v>
      </c>
      <c r="L252">
        <v>-38</v>
      </c>
      <c r="M252">
        <v>29.97</v>
      </c>
      <c r="N252" t="s">
        <v>248</v>
      </c>
      <c r="O252" t="s">
        <v>805</v>
      </c>
      <c r="P252" t="s">
        <v>13</v>
      </c>
      <c r="Q252">
        <v>0.8</v>
      </c>
      <c r="R252" t="s">
        <v>13</v>
      </c>
      <c r="S252" t="s">
        <v>15</v>
      </c>
      <c r="T252" t="s">
        <v>14</v>
      </c>
      <c r="U252">
        <v>0</v>
      </c>
      <c r="V252" t="s">
        <v>14</v>
      </c>
      <c r="W252">
        <f>BC252/BB252</f>
        <v>0.6</v>
      </c>
      <c r="X252" t="s">
        <v>14</v>
      </c>
      <c r="Y252" t="s">
        <v>14</v>
      </c>
      <c r="Z252">
        <v>0</v>
      </c>
      <c r="AA252">
        <f t="shared" si="66"/>
        <v>5211.8603251053582</v>
      </c>
      <c r="AB252">
        <f t="shared" si="67"/>
        <v>38.10957254665864</v>
      </c>
      <c r="AC252">
        <f t="shared" si="68"/>
        <v>26.550270921131848</v>
      </c>
      <c r="AD252" t="s">
        <v>15</v>
      </c>
      <c r="AE252" t="s">
        <v>27</v>
      </c>
      <c r="AF252" t="s">
        <v>18</v>
      </c>
      <c r="AG252" t="s">
        <v>14</v>
      </c>
      <c r="AH252" t="s">
        <v>14</v>
      </c>
      <c r="AI252" t="s">
        <v>18</v>
      </c>
      <c r="AJ252" t="s">
        <v>14</v>
      </c>
      <c r="AK252" t="s">
        <v>14</v>
      </c>
      <c r="AL252" t="s">
        <v>14</v>
      </c>
      <c r="AM252">
        <f t="shared" si="87"/>
        <v>69.66824644549763</v>
      </c>
      <c r="AN252">
        <f t="shared" si="72"/>
        <v>5555.9241706161138</v>
      </c>
      <c r="AO252">
        <f t="shared" si="73"/>
        <v>4099.3680884676141</v>
      </c>
      <c r="AP252">
        <f t="shared" si="74"/>
        <v>818.87835703001576</v>
      </c>
      <c r="AQ252">
        <f t="shared" si="75"/>
        <v>519.03633491311211</v>
      </c>
      <c r="AR252">
        <f t="shared" si="76"/>
        <v>637.67772511848341</v>
      </c>
      <c r="AS252">
        <f t="shared" si="77"/>
        <v>0.72245635159542443</v>
      </c>
      <c r="AT252">
        <f t="shared" si="78"/>
        <v>11.559301625526791</v>
      </c>
      <c r="AU252">
        <f t="shared" si="79"/>
        <v>9.4173846285080618</v>
      </c>
      <c r="AV252">
        <f t="shared" si="80"/>
        <v>9.3420341778270632</v>
      </c>
      <c r="AW252">
        <f t="shared" si="81"/>
        <v>14.738832494526429</v>
      </c>
      <c r="AX252">
        <f t="shared" si="82"/>
        <v>11.477437515994199</v>
      </c>
      <c r="AY252">
        <f t="shared" si="83"/>
        <v>4996.93579766537</v>
      </c>
      <c r="AZ252">
        <f t="shared" si="84"/>
        <v>523.22274881516591</v>
      </c>
      <c r="BA252">
        <f t="shared" si="85"/>
        <v>30.33175355450237</v>
      </c>
      <c r="BB252" t="s">
        <v>39</v>
      </c>
      <c r="BC252" t="s">
        <v>40</v>
      </c>
      <c r="BD252">
        <v>33.22</v>
      </c>
      <c r="BE252">
        <v>12.66</v>
      </c>
      <c r="BF252">
        <v>8.82</v>
      </c>
      <c r="BG252">
        <v>3.84</v>
      </c>
      <c r="BH252">
        <v>0.24</v>
      </c>
      <c r="BI252">
        <v>173138</v>
      </c>
      <c r="BJ252">
        <v>51898</v>
      </c>
      <c r="BK252">
        <v>6571</v>
      </c>
      <c r="BL252">
        <v>2228</v>
      </c>
      <c r="BM252">
        <v>363</v>
      </c>
      <c r="BN252">
        <v>6624</v>
      </c>
      <c r="BO252">
        <v>1152</v>
      </c>
      <c r="BP252">
        <v>1105</v>
      </c>
      <c r="BQ252">
        <v>397</v>
      </c>
      <c r="BR252">
        <v>102737</v>
      </c>
      <c r="BS252" t="s">
        <v>21</v>
      </c>
      <c r="BT252" t="s">
        <v>419</v>
      </c>
      <c r="BU252">
        <v>0</v>
      </c>
      <c r="BV252">
        <v>0</v>
      </c>
      <c r="BW252">
        <v>0</v>
      </c>
      <c r="BX252">
        <v>0</v>
      </c>
      <c r="BY252">
        <v>42.6</v>
      </c>
      <c r="BZ252">
        <v>42.9</v>
      </c>
      <c r="CA252">
        <v>10</v>
      </c>
      <c r="CB252">
        <v>6</v>
      </c>
      <c r="CC252">
        <v>0</v>
      </c>
      <c r="CD252">
        <f t="shared" si="86"/>
        <v>6.9930069930069783E-3</v>
      </c>
      <c r="CE252">
        <v>0.6</v>
      </c>
    </row>
    <row r="253" spans="1:83" x14ac:dyDescent="0.4">
      <c r="A253" t="s">
        <v>1200</v>
      </c>
      <c r="B253" t="s">
        <v>49</v>
      </c>
      <c r="C253" t="s">
        <v>73</v>
      </c>
      <c r="D253" t="s">
        <v>82</v>
      </c>
      <c r="E253" t="s">
        <v>49</v>
      </c>
      <c r="F253" t="s">
        <v>22</v>
      </c>
      <c r="G253">
        <v>70</v>
      </c>
      <c r="H253">
        <v>59</v>
      </c>
      <c r="I253">
        <v>60</v>
      </c>
      <c r="J253">
        <f t="shared" si="70"/>
        <v>10</v>
      </c>
      <c r="K253">
        <f t="shared" si="71"/>
        <v>-1</v>
      </c>
      <c r="L253">
        <v>11</v>
      </c>
      <c r="M253">
        <v>60.11</v>
      </c>
      <c r="N253" t="s">
        <v>806</v>
      </c>
      <c r="O253" t="s">
        <v>807</v>
      </c>
      <c r="P253" t="s">
        <v>13</v>
      </c>
      <c r="Q253">
        <v>0.2</v>
      </c>
      <c r="R253" t="s">
        <v>26</v>
      </c>
      <c r="S253" t="s">
        <v>15</v>
      </c>
      <c r="T253" t="s">
        <v>14</v>
      </c>
      <c r="U253">
        <v>2.5</v>
      </c>
      <c r="V253" t="s">
        <v>14</v>
      </c>
      <c r="W253">
        <f>BC253/BB253</f>
        <v>1</v>
      </c>
      <c r="X253" t="s">
        <v>14</v>
      </c>
      <c r="Y253" t="s">
        <v>14</v>
      </c>
      <c r="Z253">
        <v>0</v>
      </c>
      <c r="AA253">
        <f t="shared" si="66"/>
        <v>2650.1319261213721</v>
      </c>
      <c r="AB253">
        <f t="shared" si="67"/>
        <v>83.641160949868066</v>
      </c>
      <c r="AC253">
        <f t="shared" si="68"/>
        <v>35.88390501319261</v>
      </c>
      <c r="AD253" t="s">
        <v>15</v>
      </c>
      <c r="AE253" t="s">
        <v>15</v>
      </c>
      <c r="AF253" t="s">
        <v>24</v>
      </c>
      <c r="AG253" t="s">
        <v>14</v>
      </c>
      <c r="AH253" t="s">
        <v>14</v>
      </c>
      <c r="AI253" t="s">
        <v>14</v>
      </c>
      <c r="AJ253" t="s">
        <v>14</v>
      </c>
      <c r="AK253" t="s">
        <v>14</v>
      </c>
      <c r="AL253" t="s">
        <v>14</v>
      </c>
      <c r="AM253">
        <f t="shared" si="87"/>
        <v>42.902208201892748</v>
      </c>
      <c r="AN253">
        <f t="shared" si="72"/>
        <v>3067.5078864353313</v>
      </c>
      <c r="AO253">
        <f t="shared" si="73"/>
        <v>1904.4164037854889</v>
      </c>
      <c r="AP253">
        <f t="shared" si="74"/>
        <v>389.2744479495268</v>
      </c>
      <c r="AQ253">
        <f t="shared" si="75"/>
        <v>589.2744479495268</v>
      </c>
      <c r="AR253">
        <f t="shared" si="76"/>
        <v>773.8170347003155</v>
      </c>
      <c r="AS253">
        <f t="shared" si="77"/>
        <v>5.2770448548812663</v>
      </c>
      <c r="AT253">
        <f t="shared" si="78"/>
        <v>47.757255936675463</v>
      </c>
      <c r="AU253">
        <f t="shared" si="79"/>
        <v>3.2702591526120939</v>
      </c>
      <c r="AV253">
        <f t="shared" si="80"/>
        <v>19.210201563142739</v>
      </c>
      <c r="AW253">
        <f t="shared" si="81"/>
        <v>12.690250925545044</v>
      </c>
      <c r="AX253">
        <f t="shared" si="82"/>
        <v>25.226244343891402</v>
      </c>
      <c r="AY253">
        <f t="shared" si="83"/>
        <v>511.29032258064507</v>
      </c>
      <c r="AZ253">
        <f t="shared" si="84"/>
        <v>100.31545741324922</v>
      </c>
      <c r="BA253">
        <f t="shared" si="85"/>
        <v>57.097791798107259</v>
      </c>
      <c r="BB253" t="s">
        <v>31</v>
      </c>
      <c r="BC253" t="s">
        <v>31</v>
      </c>
      <c r="BD253">
        <v>3.79</v>
      </c>
      <c r="BE253">
        <v>3.17</v>
      </c>
      <c r="BF253">
        <v>1.36</v>
      </c>
      <c r="BG253">
        <v>1.81</v>
      </c>
      <c r="BH253">
        <v>0.2</v>
      </c>
      <c r="BI253">
        <v>10044</v>
      </c>
      <c r="BJ253">
        <v>6037</v>
      </c>
      <c r="BK253">
        <v>1868</v>
      </c>
      <c r="BL253">
        <v>848</v>
      </c>
      <c r="BM253">
        <v>13</v>
      </c>
      <c r="BN253">
        <v>318</v>
      </c>
      <c r="BO253">
        <v>55</v>
      </c>
      <c r="BP253">
        <v>282</v>
      </c>
      <c r="BQ253">
        <v>303</v>
      </c>
      <c r="BR253">
        <v>317</v>
      </c>
      <c r="BS253" t="s">
        <v>21</v>
      </c>
      <c r="BT253" t="s">
        <v>386</v>
      </c>
      <c r="BU253">
        <v>0</v>
      </c>
      <c r="BV253">
        <v>0</v>
      </c>
      <c r="BW253">
        <v>0.1</v>
      </c>
      <c r="BX253">
        <v>0</v>
      </c>
      <c r="BY253">
        <v>5.2</v>
      </c>
      <c r="BZ253">
        <v>5.2</v>
      </c>
      <c r="CA253">
        <v>2</v>
      </c>
      <c r="CB253">
        <v>2</v>
      </c>
      <c r="CC253">
        <v>0</v>
      </c>
      <c r="CD253">
        <f t="shared" si="86"/>
        <v>0</v>
      </c>
      <c r="CE253">
        <v>1</v>
      </c>
    </row>
    <row r="254" spans="1:83" x14ac:dyDescent="0.4">
      <c r="A254" t="s">
        <v>1201</v>
      </c>
      <c r="B254" t="s">
        <v>34</v>
      </c>
      <c r="C254" t="s">
        <v>34</v>
      </c>
      <c r="D254" t="s">
        <v>34</v>
      </c>
      <c r="E254" t="s">
        <v>49</v>
      </c>
      <c r="F254" t="s">
        <v>22</v>
      </c>
      <c r="G254">
        <v>70</v>
      </c>
      <c r="H254">
        <v>91</v>
      </c>
      <c r="I254">
        <v>78.5</v>
      </c>
      <c r="J254">
        <f t="shared" si="70"/>
        <v>-8.5</v>
      </c>
      <c r="K254">
        <f t="shared" si="71"/>
        <v>12.5</v>
      </c>
      <c r="L254">
        <v>-21</v>
      </c>
      <c r="M254">
        <v>78.39</v>
      </c>
      <c r="N254" t="s">
        <v>808</v>
      </c>
      <c r="O254" t="s">
        <v>809</v>
      </c>
      <c r="P254" t="s">
        <v>13</v>
      </c>
      <c r="Q254">
        <v>0.4</v>
      </c>
      <c r="R254" t="s">
        <v>26</v>
      </c>
      <c r="S254" t="s">
        <v>15</v>
      </c>
      <c r="T254" t="s">
        <v>14</v>
      </c>
      <c r="U254">
        <v>2.5</v>
      </c>
      <c r="V254" t="s">
        <v>14</v>
      </c>
      <c r="W254">
        <f>BC254/BB254</f>
        <v>1</v>
      </c>
      <c r="X254" t="s">
        <v>14</v>
      </c>
      <c r="Y254" t="s">
        <v>14</v>
      </c>
      <c r="Z254">
        <v>0</v>
      </c>
      <c r="AA254">
        <f t="shared" si="66"/>
        <v>5740.0893355667222</v>
      </c>
      <c r="AB254">
        <f t="shared" si="67"/>
        <v>80.122836404243444</v>
      </c>
      <c r="AC254">
        <f t="shared" si="68"/>
        <v>43.997766610831938</v>
      </c>
      <c r="AD254" t="s">
        <v>37</v>
      </c>
      <c r="AE254" t="s">
        <v>27</v>
      </c>
      <c r="AF254" t="s">
        <v>18</v>
      </c>
      <c r="AG254" t="s">
        <v>14</v>
      </c>
      <c r="AH254" t="s">
        <v>14</v>
      </c>
      <c r="AI254" t="s">
        <v>18</v>
      </c>
      <c r="AJ254" t="s">
        <v>14</v>
      </c>
      <c r="AK254" t="s">
        <v>14</v>
      </c>
      <c r="AL254" t="s">
        <v>14</v>
      </c>
      <c r="AM254">
        <f t="shared" si="87"/>
        <v>54.912891986062718</v>
      </c>
      <c r="AN254">
        <f t="shared" si="72"/>
        <v>6832.5435540069684</v>
      </c>
      <c r="AO254">
        <f t="shared" si="73"/>
        <v>5615.679442508711</v>
      </c>
      <c r="AP254">
        <f t="shared" si="74"/>
        <v>350.94076655052265</v>
      </c>
      <c r="AQ254">
        <f t="shared" si="75"/>
        <v>616.65505226480843</v>
      </c>
      <c r="AR254">
        <f t="shared" si="76"/>
        <v>865.92334494773525</v>
      </c>
      <c r="AS254">
        <f t="shared" si="77"/>
        <v>3.5734226689000557</v>
      </c>
      <c r="AT254">
        <f t="shared" si="78"/>
        <v>36.125069793411498</v>
      </c>
      <c r="AU254">
        <f t="shared" si="79"/>
        <v>3.3361551092843227</v>
      </c>
      <c r="AV254">
        <f t="shared" si="80"/>
        <v>9.0252633940865099</v>
      </c>
      <c r="AW254">
        <f t="shared" si="81"/>
        <v>5.1363121768131608</v>
      </c>
      <c r="AX254">
        <f t="shared" si="82"/>
        <v>12.673513723010393</v>
      </c>
      <c r="AY254">
        <f t="shared" si="83"/>
        <v>1335.6741573033705</v>
      </c>
      <c r="AZ254">
        <f t="shared" si="84"/>
        <v>227.94425087108016</v>
      </c>
      <c r="BA254">
        <f t="shared" si="85"/>
        <v>45.087108013937282</v>
      </c>
      <c r="BB254" t="s">
        <v>30</v>
      </c>
      <c r="BC254" t="s">
        <v>30</v>
      </c>
      <c r="BD254">
        <v>17.91</v>
      </c>
      <c r="BE254">
        <v>14.35</v>
      </c>
      <c r="BF254">
        <v>7.88</v>
      </c>
      <c r="BG254">
        <v>6.47</v>
      </c>
      <c r="BH254">
        <v>0.64</v>
      </c>
      <c r="BI254">
        <v>102805</v>
      </c>
      <c r="BJ254">
        <v>80585</v>
      </c>
      <c r="BK254">
        <v>8849</v>
      </c>
      <c r="BL254">
        <v>1057</v>
      </c>
      <c r="BM254">
        <v>297</v>
      </c>
      <c r="BN254">
        <v>3271</v>
      </c>
      <c r="BO254">
        <v>411</v>
      </c>
      <c r="BP254">
        <v>3262</v>
      </c>
      <c r="BQ254">
        <v>315</v>
      </c>
      <c r="BR254">
        <v>4755</v>
      </c>
      <c r="BS254" t="s">
        <v>21</v>
      </c>
      <c r="BT254" t="s">
        <v>677</v>
      </c>
      <c r="BU254">
        <v>0</v>
      </c>
      <c r="BV254">
        <v>2.2999999999999998</v>
      </c>
      <c r="BW254">
        <v>0</v>
      </c>
      <c r="BX254">
        <v>1.7</v>
      </c>
      <c r="BY254">
        <v>18.2</v>
      </c>
      <c r="BZ254">
        <v>19</v>
      </c>
      <c r="CA254">
        <v>3</v>
      </c>
      <c r="CB254">
        <v>3</v>
      </c>
      <c r="CC254">
        <v>0</v>
      </c>
      <c r="CD254">
        <f t="shared" si="86"/>
        <v>4.2105263157894757E-2</v>
      </c>
      <c r="CE254">
        <v>1</v>
      </c>
    </row>
    <row r="255" spans="1:83" x14ac:dyDescent="0.4">
      <c r="A255" t="s">
        <v>1202</v>
      </c>
      <c r="B255" t="s">
        <v>34</v>
      </c>
      <c r="C255" t="s">
        <v>34</v>
      </c>
      <c r="D255" t="s">
        <v>34</v>
      </c>
      <c r="E255" t="s">
        <v>49</v>
      </c>
      <c r="F255" t="s">
        <v>32</v>
      </c>
      <c r="G255">
        <v>30</v>
      </c>
      <c r="H255">
        <v>94</v>
      </c>
      <c r="I255">
        <v>66</v>
      </c>
      <c r="J255">
        <f t="shared" si="70"/>
        <v>-36</v>
      </c>
      <c r="K255">
        <f t="shared" si="71"/>
        <v>28</v>
      </c>
      <c r="L255">
        <v>-64</v>
      </c>
      <c r="M255">
        <v>66</v>
      </c>
      <c r="N255" t="s">
        <v>810</v>
      </c>
      <c r="O255" t="s">
        <v>811</v>
      </c>
      <c r="P255" t="s">
        <v>13</v>
      </c>
      <c r="Q255">
        <v>0.1</v>
      </c>
      <c r="R255" t="s">
        <v>13</v>
      </c>
      <c r="S255" t="s">
        <v>15</v>
      </c>
      <c r="T255" t="s">
        <v>14</v>
      </c>
      <c r="U255">
        <v>2.5</v>
      </c>
      <c r="V255" t="s">
        <v>14</v>
      </c>
      <c r="W255">
        <v>0</v>
      </c>
      <c r="X255" t="s">
        <v>14</v>
      </c>
      <c r="Y255" t="s">
        <v>14</v>
      </c>
      <c r="Z255">
        <v>0</v>
      </c>
      <c r="AA255">
        <f t="shared" si="66"/>
        <v>474.26729191090271</v>
      </c>
      <c r="AB255">
        <f t="shared" si="67"/>
        <v>5.7444314185228613</v>
      </c>
      <c r="AC255">
        <f t="shared" si="68"/>
        <v>5.6858147713950764</v>
      </c>
      <c r="AD255" t="s">
        <v>36</v>
      </c>
      <c r="AE255" t="s">
        <v>15</v>
      </c>
      <c r="AF255" t="s">
        <v>18</v>
      </c>
      <c r="AG255" t="s">
        <v>14</v>
      </c>
      <c r="AH255" t="s">
        <v>14</v>
      </c>
      <c r="AI255" t="s">
        <v>14</v>
      </c>
      <c r="AJ255" t="s">
        <v>14</v>
      </c>
      <c r="AK255" t="s">
        <v>14</v>
      </c>
      <c r="AL255" t="s">
        <v>14</v>
      </c>
      <c r="AM255">
        <f t="shared" si="87"/>
        <v>98.979591836734699</v>
      </c>
      <c r="AN255">
        <f t="shared" si="72"/>
        <v>5952.0408163265311</v>
      </c>
      <c r="AO255">
        <f t="shared" si="73"/>
        <v>5448.9795918367345</v>
      </c>
      <c r="AP255">
        <f t="shared" si="74"/>
        <v>365.30612244897958</v>
      </c>
      <c r="AQ255">
        <f t="shared" si="75"/>
        <v>17.346938775510203</v>
      </c>
      <c r="AR255">
        <f t="shared" si="76"/>
        <v>137.75510204081633</v>
      </c>
      <c r="AS255">
        <f t="shared" si="77"/>
        <v>78.83939038686988</v>
      </c>
      <c r="AT255">
        <f t="shared" si="78"/>
        <v>5.8616647127784298E-2</v>
      </c>
      <c r="AU255">
        <f t="shared" si="79"/>
        <v>1.7829590262300703</v>
      </c>
      <c r="AV255">
        <f t="shared" si="80"/>
        <v>0.29144522544145379</v>
      </c>
      <c r="AW255">
        <f t="shared" si="81"/>
        <v>6.1374935710612037</v>
      </c>
      <c r="AX255">
        <f t="shared" si="82"/>
        <v>2.3144179667409568</v>
      </c>
      <c r="AY255">
        <f t="shared" si="83"/>
        <v>140.42288557213931</v>
      </c>
      <c r="AZ255">
        <f t="shared" si="84"/>
        <v>106.12244897959184</v>
      </c>
      <c r="BA255">
        <f t="shared" si="85"/>
        <v>1.0204081632653061</v>
      </c>
      <c r="BB255" t="s">
        <v>33</v>
      </c>
      <c r="BC255" t="s">
        <v>33</v>
      </c>
      <c r="BD255">
        <v>17.059999999999999</v>
      </c>
      <c r="BE255">
        <v>0.98</v>
      </c>
      <c r="BF255">
        <v>0.97</v>
      </c>
      <c r="BG255">
        <v>0.01</v>
      </c>
      <c r="BH255">
        <v>13.45</v>
      </c>
      <c r="BI255">
        <v>8091</v>
      </c>
      <c r="BJ255">
        <v>5340</v>
      </c>
      <c r="BK255">
        <v>17</v>
      </c>
      <c r="BL255">
        <v>238</v>
      </c>
      <c r="BM255">
        <v>3</v>
      </c>
      <c r="BN255">
        <v>104</v>
      </c>
      <c r="BO255">
        <v>13</v>
      </c>
      <c r="BP255">
        <v>2</v>
      </c>
      <c r="BQ255">
        <v>116</v>
      </c>
      <c r="BR255">
        <v>2258</v>
      </c>
      <c r="BS255" t="s">
        <v>21</v>
      </c>
      <c r="BT255" t="s">
        <v>765</v>
      </c>
      <c r="BU255">
        <v>0</v>
      </c>
      <c r="BV255">
        <v>0</v>
      </c>
      <c r="BW255">
        <v>0</v>
      </c>
      <c r="BX255">
        <v>0.1</v>
      </c>
      <c r="BY255">
        <v>18.600000000000001</v>
      </c>
      <c r="BZ255">
        <v>18.600000000000001</v>
      </c>
      <c r="CA255">
        <v>0</v>
      </c>
      <c r="CB255">
        <v>0</v>
      </c>
      <c r="CC255">
        <v>0</v>
      </c>
      <c r="CD255">
        <f t="shared" si="86"/>
        <v>0</v>
      </c>
      <c r="CE255">
        <v>0</v>
      </c>
    </row>
    <row r="256" spans="1:83" x14ac:dyDescent="0.4">
      <c r="A256" t="s">
        <v>1203</v>
      </c>
      <c r="B256" t="s">
        <v>42</v>
      </c>
      <c r="C256" t="s">
        <v>82</v>
      </c>
      <c r="D256" t="s">
        <v>82</v>
      </c>
      <c r="E256" t="s">
        <v>49</v>
      </c>
      <c r="F256" t="s">
        <v>12</v>
      </c>
      <c r="G256">
        <v>80</v>
      </c>
      <c r="H256">
        <v>88</v>
      </c>
      <c r="I256">
        <v>86</v>
      </c>
      <c r="J256">
        <f t="shared" si="70"/>
        <v>-6</v>
      </c>
      <c r="K256">
        <f t="shared" si="71"/>
        <v>2</v>
      </c>
      <c r="L256">
        <v>-8</v>
      </c>
      <c r="M256">
        <v>85.75</v>
      </c>
      <c r="N256" t="s">
        <v>813</v>
      </c>
      <c r="O256" t="s">
        <v>814</v>
      </c>
      <c r="P256" t="s">
        <v>13</v>
      </c>
      <c r="Q256">
        <v>2.4</v>
      </c>
      <c r="R256" t="s">
        <v>26</v>
      </c>
      <c r="S256" t="s">
        <v>15</v>
      </c>
      <c r="T256" t="s">
        <v>14</v>
      </c>
      <c r="U256">
        <v>7.5</v>
      </c>
      <c r="V256" t="s">
        <v>14</v>
      </c>
      <c r="W256">
        <f>BC256/BB256</f>
        <v>1</v>
      </c>
      <c r="X256" t="s">
        <v>14</v>
      </c>
      <c r="Y256" t="s">
        <v>14</v>
      </c>
      <c r="Z256">
        <v>0</v>
      </c>
      <c r="AA256">
        <f t="shared" si="66"/>
        <v>5419.1638418079092</v>
      </c>
      <c r="AB256">
        <f t="shared" si="67"/>
        <v>85.740112994350284</v>
      </c>
      <c r="AC256">
        <f t="shared" si="68"/>
        <v>63.932203389830505</v>
      </c>
      <c r="AD256" t="s">
        <v>27</v>
      </c>
      <c r="AE256" t="s">
        <v>27</v>
      </c>
      <c r="AF256" t="s">
        <v>18</v>
      </c>
      <c r="AG256" t="s">
        <v>14</v>
      </c>
      <c r="AH256" t="s">
        <v>14</v>
      </c>
      <c r="AI256" t="s">
        <v>18</v>
      </c>
      <c r="AJ256" t="s">
        <v>14</v>
      </c>
      <c r="AK256" t="s">
        <v>14</v>
      </c>
      <c r="AL256" t="s">
        <v>14</v>
      </c>
      <c r="AM256">
        <f t="shared" si="87"/>
        <v>74.565102793885089</v>
      </c>
      <c r="AN256">
        <f t="shared" si="72"/>
        <v>6185.3189246178181</v>
      </c>
      <c r="AO256">
        <f t="shared" si="73"/>
        <v>5419.5571955719561</v>
      </c>
      <c r="AP256">
        <f t="shared" si="74"/>
        <v>323.16816025303115</v>
      </c>
      <c r="AQ256">
        <f t="shared" si="75"/>
        <v>376.54190827622563</v>
      </c>
      <c r="AR256">
        <f t="shared" si="76"/>
        <v>442.59356879283081</v>
      </c>
      <c r="AS256">
        <f t="shared" si="77"/>
        <v>8.4971751412429377</v>
      </c>
      <c r="AT256">
        <f t="shared" si="78"/>
        <v>21.785310734463277</v>
      </c>
      <c r="AU256">
        <f t="shared" si="79"/>
        <v>2.4625965713701308</v>
      </c>
      <c r="AV256">
        <f t="shared" si="80"/>
        <v>6.0876716765173366</v>
      </c>
      <c r="AW256">
        <f t="shared" si="81"/>
        <v>5.2247614745750433</v>
      </c>
      <c r="AX256">
        <f t="shared" si="82"/>
        <v>7.1555496844518496</v>
      </c>
      <c r="AY256">
        <f t="shared" si="83"/>
        <v>810.61806656101396</v>
      </c>
      <c r="AZ256">
        <f t="shared" si="84"/>
        <v>152.31945176594624</v>
      </c>
      <c r="BA256">
        <f t="shared" si="85"/>
        <v>25.408539799683712</v>
      </c>
      <c r="BB256" t="s">
        <v>30</v>
      </c>
      <c r="BC256" t="s">
        <v>30</v>
      </c>
      <c r="BD256">
        <v>44.25</v>
      </c>
      <c r="BE256">
        <v>37.94</v>
      </c>
      <c r="BF256">
        <v>28.29</v>
      </c>
      <c r="BG256">
        <v>9.64</v>
      </c>
      <c r="BH256">
        <v>3.76</v>
      </c>
      <c r="BI256">
        <v>239798</v>
      </c>
      <c r="BJ256">
        <v>205618</v>
      </c>
      <c r="BK256">
        <v>14286</v>
      </c>
      <c r="BL256">
        <v>5472</v>
      </c>
      <c r="BM256">
        <v>172</v>
      </c>
      <c r="BN256">
        <v>5779</v>
      </c>
      <c r="BO256">
        <v>838</v>
      </c>
      <c r="BP256">
        <v>2089</v>
      </c>
      <c r="BQ256">
        <v>417</v>
      </c>
      <c r="BR256">
        <v>5115</v>
      </c>
      <c r="BS256" t="s">
        <v>21</v>
      </c>
      <c r="BT256" t="s">
        <v>812</v>
      </c>
      <c r="BU256">
        <v>0</v>
      </c>
      <c r="BV256">
        <v>1.4</v>
      </c>
      <c r="BW256">
        <v>1.2</v>
      </c>
      <c r="BX256">
        <v>0.8</v>
      </c>
      <c r="BY256">
        <v>46</v>
      </c>
      <c r="BZ256">
        <v>48.8</v>
      </c>
      <c r="CA256">
        <v>3</v>
      </c>
      <c r="CB256">
        <v>3</v>
      </c>
      <c r="CC256">
        <v>0</v>
      </c>
      <c r="CD256">
        <f t="shared" si="86"/>
        <v>5.7377049180327822E-2</v>
      </c>
      <c r="CE256">
        <v>1</v>
      </c>
    </row>
    <row r="257" spans="1:83" x14ac:dyDescent="0.4">
      <c r="A257" t="s">
        <v>1204</v>
      </c>
      <c r="B257" t="s">
        <v>49</v>
      </c>
      <c r="C257" t="s">
        <v>73</v>
      </c>
      <c r="D257" t="s">
        <v>82</v>
      </c>
      <c r="E257" t="s">
        <v>49</v>
      </c>
      <c r="F257" t="s">
        <v>22</v>
      </c>
      <c r="G257">
        <v>50</v>
      </c>
      <c r="H257">
        <v>32</v>
      </c>
      <c r="I257">
        <v>38</v>
      </c>
      <c r="J257">
        <f t="shared" si="70"/>
        <v>12</v>
      </c>
      <c r="K257">
        <f t="shared" si="71"/>
        <v>-6</v>
      </c>
      <c r="L257">
        <v>18</v>
      </c>
      <c r="M257">
        <v>37.99</v>
      </c>
      <c r="N257" t="s">
        <v>815</v>
      </c>
      <c r="O257" t="s">
        <v>816</v>
      </c>
      <c r="P257" t="s">
        <v>13</v>
      </c>
      <c r="Q257">
        <v>0</v>
      </c>
      <c r="R257" t="s">
        <v>13</v>
      </c>
      <c r="S257" t="s">
        <v>15</v>
      </c>
      <c r="T257" t="s">
        <v>14</v>
      </c>
      <c r="U257">
        <v>2.5</v>
      </c>
      <c r="V257" t="s">
        <v>14</v>
      </c>
      <c r="W257">
        <f>BC257/BB257</f>
        <v>1</v>
      </c>
      <c r="X257" t="s">
        <v>14</v>
      </c>
      <c r="Y257" t="s">
        <v>14</v>
      </c>
      <c r="Z257">
        <v>0</v>
      </c>
      <c r="AA257">
        <f t="shared" si="66"/>
        <v>3000.9259259259256</v>
      </c>
      <c r="AB257">
        <f t="shared" si="67"/>
        <v>46.141975308641975</v>
      </c>
      <c r="AC257">
        <f t="shared" si="68"/>
        <v>19.290123456790123</v>
      </c>
      <c r="AD257" t="s">
        <v>15</v>
      </c>
      <c r="AE257" t="s">
        <v>37</v>
      </c>
      <c r="AF257" t="s">
        <v>24</v>
      </c>
      <c r="AG257" t="s">
        <v>14</v>
      </c>
      <c r="AH257" t="s">
        <v>14</v>
      </c>
      <c r="AI257" t="s">
        <v>18</v>
      </c>
      <c r="AJ257" t="s">
        <v>14</v>
      </c>
      <c r="AK257" t="s">
        <v>14</v>
      </c>
      <c r="AL257" t="s">
        <v>14</v>
      </c>
      <c r="AM257">
        <f t="shared" si="87"/>
        <v>41.80602006688963</v>
      </c>
      <c r="AN257">
        <f t="shared" si="72"/>
        <v>5188.9632107023408</v>
      </c>
      <c r="AO257">
        <f t="shared" si="73"/>
        <v>2471.0702341137121</v>
      </c>
      <c r="AP257">
        <f t="shared" si="74"/>
        <v>901.50501672240796</v>
      </c>
      <c r="AQ257">
        <f t="shared" si="75"/>
        <v>1591.9732441471572</v>
      </c>
      <c r="AR257">
        <f t="shared" si="76"/>
        <v>1816.3879598662206</v>
      </c>
      <c r="AS257">
        <f t="shared" si="77"/>
        <v>32.484567901234563</v>
      </c>
      <c r="AT257">
        <f t="shared" si="78"/>
        <v>26.851851851851851</v>
      </c>
      <c r="AU257">
        <f t="shared" si="79"/>
        <v>11.746696745085401</v>
      </c>
      <c r="AV257">
        <f t="shared" si="80"/>
        <v>30.679987109249115</v>
      </c>
      <c r="AW257">
        <f t="shared" si="81"/>
        <v>17.37350950692878</v>
      </c>
      <c r="AX257">
        <f t="shared" si="82"/>
        <v>35.004834031582341</v>
      </c>
      <c r="AY257">
        <f t="shared" si="83"/>
        <v>1122.349570200573</v>
      </c>
      <c r="AZ257">
        <f t="shared" si="84"/>
        <v>609.53177257525078</v>
      </c>
      <c r="BA257">
        <f t="shared" si="85"/>
        <v>58.193979933110363</v>
      </c>
      <c r="BB257" t="s">
        <v>28</v>
      </c>
      <c r="BC257" t="s">
        <v>28</v>
      </c>
      <c r="BD257">
        <v>12.96</v>
      </c>
      <c r="BE257">
        <v>5.98</v>
      </c>
      <c r="BF257">
        <v>2.5</v>
      </c>
      <c r="BG257">
        <v>3.48</v>
      </c>
      <c r="BH257">
        <v>4.21</v>
      </c>
      <c r="BI257">
        <v>38892</v>
      </c>
      <c r="BJ257">
        <v>14777</v>
      </c>
      <c r="BK257">
        <v>9520</v>
      </c>
      <c r="BL257">
        <v>969</v>
      </c>
      <c r="BM257">
        <v>493</v>
      </c>
      <c r="BN257">
        <v>3645</v>
      </c>
      <c r="BO257">
        <v>284</v>
      </c>
      <c r="BP257">
        <v>1227</v>
      </c>
      <c r="BQ257">
        <v>115</v>
      </c>
      <c r="BR257">
        <v>7834</v>
      </c>
      <c r="BS257" t="s">
        <v>21</v>
      </c>
      <c r="BT257" t="s">
        <v>568</v>
      </c>
      <c r="BU257">
        <v>0</v>
      </c>
      <c r="BV257">
        <v>0</v>
      </c>
      <c r="BW257">
        <v>0</v>
      </c>
      <c r="BX257">
        <v>0.4</v>
      </c>
      <c r="BY257">
        <v>15.2</v>
      </c>
      <c r="BZ257">
        <v>15.3</v>
      </c>
      <c r="CA257">
        <v>4</v>
      </c>
      <c r="CB257">
        <v>4</v>
      </c>
      <c r="CC257">
        <v>0</v>
      </c>
      <c r="CD257">
        <f t="shared" si="86"/>
        <v>6.5359477124183885E-3</v>
      </c>
      <c r="CE257">
        <v>1</v>
      </c>
    </row>
    <row r="258" spans="1:83" x14ac:dyDescent="0.4">
      <c r="A258" t="s">
        <v>1205</v>
      </c>
      <c r="B258" t="s">
        <v>42</v>
      </c>
      <c r="C258" t="s">
        <v>82</v>
      </c>
      <c r="D258" t="s">
        <v>82</v>
      </c>
      <c r="E258" t="s">
        <v>49</v>
      </c>
      <c r="F258" t="s">
        <v>22</v>
      </c>
      <c r="G258">
        <v>70</v>
      </c>
      <c r="H258">
        <v>37</v>
      </c>
      <c r="I258">
        <v>33</v>
      </c>
      <c r="J258">
        <f t="shared" si="70"/>
        <v>37</v>
      </c>
      <c r="K258">
        <f t="shared" si="71"/>
        <v>4</v>
      </c>
      <c r="L258">
        <v>33</v>
      </c>
      <c r="M258">
        <v>32.96</v>
      </c>
      <c r="N258" t="s">
        <v>817</v>
      </c>
      <c r="O258" t="s">
        <v>818</v>
      </c>
      <c r="P258" t="s">
        <v>13</v>
      </c>
      <c r="Q258">
        <v>0.3</v>
      </c>
      <c r="R258" t="s">
        <v>13</v>
      </c>
      <c r="S258" t="s">
        <v>27</v>
      </c>
      <c r="T258" t="s">
        <v>14</v>
      </c>
      <c r="U258">
        <v>2.5</v>
      </c>
      <c r="V258" t="s">
        <v>14</v>
      </c>
      <c r="W258" t="s">
        <v>52</v>
      </c>
      <c r="X258" t="s">
        <v>14</v>
      </c>
      <c r="Y258" t="s">
        <v>17</v>
      </c>
      <c r="Z258">
        <v>0</v>
      </c>
      <c r="AA258">
        <f t="shared" ref="AA258:AA301" si="88">BI258/BD258</f>
        <v>3721.9259259259261</v>
      </c>
      <c r="AB258">
        <f t="shared" ref="AB258:AB301" si="89">BE258*100/BD258</f>
        <v>69.007407407407413</v>
      </c>
      <c r="AC258">
        <f t="shared" ref="AC258:AC301" si="90">BF258*100/BD258</f>
        <v>23.2</v>
      </c>
      <c r="AD258" t="s">
        <v>15</v>
      </c>
      <c r="AE258" t="s">
        <v>27</v>
      </c>
      <c r="AF258" t="s">
        <v>24</v>
      </c>
      <c r="AG258" t="s">
        <v>14</v>
      </c>
      <c r="AH258" t="s">
        <v>14</v>
      </c>
      <c r="AI258" t="s">
        <v>18</v>
      </c>
      <c r="AJ258" t="s">
        <v>14</v>
      </c>
      <c r="AK258" t="s">
        <v>14</v>
      </c>
      <c r="AL258" t="s">
        <v>14</v>
      </c>
      <c r="AM258">
        <f t="shared" si="87"/>
        <v>33.619579218548736</v>
      </c>
      <c r="AN258">
        <f t="shared" si="72"/>
        <v>4493.9029626449119</v>
      </c>
      <c r="AO258">
        <f t="shared" si="73"/>
        <v>1777.8016316015458</v>
      </c>
      <c r="AP258">
        <f t="shared" si="74"/>
        <v>1434.9076857020182</v>
      </c>
      <c r="AQ258">
        <f t="shared" si="75"/>
        <v>913.22455989695152</v>
      </c>
      <c r="AR258">
        <f t="shared" si="76"/>
        <v>1281.1936453413482</v>
      </c>
      <c r="AS258">
        <f t="shared" si="77"/>
        <v>12.503703703703703</v>
      </c>
      <c r="AT258">
        <f t="shared" si="78"/>
        <v>45.80740740740741</v>
      </c>
      <c r="AU258">
        <f t="shared" si="79"/>
        <v>14.395727238852317</v>
      </c>
      <c r="AV258">
        <f t="shared" si="80"/>
        <v>20.321412533560093</v>
      </c>
      <c r="AW258">
        <f t="shared" si="81"/>
        <v>31.930099462083067</v>
      </c>
      <c r="AX258">
        <f t="shared" si="82"/>
        <v>28.509597469975063</v>
      </c>
      <c r="AY258">
        <f t="shared" si="83"/>
        <v>1979.3499043977054</v>
      </c>
      <c r="AZ258">
        <f t="shared" si="84"/>
        <v>646.93001288106484</v>
      </c>
      <c r="BA258">
        <f t="shared" si="85"/>
        <v>66.380420781451264</v>
      </c>
      <c r="BB258" t="s">
        <v>52</v>
      </c>
      <c r="BC258" t="s">
        <v>52</v>
      </c>
      <c r="BD258">
        <v>33.75</v>
      </c>
      <c r="BE258">
        <v>23.29</v>
      </c>
      <c r="BF258">
        <v>7.83</v>
      </c>
      <c r="BG258">
        <v>15.46</v>
      </c>
      <c r="BH258">
        <v>4.22</v>
      </c>
      <c r="BI258">
        <v>125615</v>
      </c>
      <c r="BJ258">
        <v>41405</v>
      </c>
      <c r="BK258">
        <v>21269</v>
      </c>
      <c r="BL258">
        <v>13179</v>
      </c>
      <c r="BM258">
        <v>1536</v>
      </c>
      <c r="BN258">
        <v>15067</v>
      </c>
      <c r="BO258">
        <v>3637</v>
      </c>
      <c r="BP258">
        <v>7085</v>
      </c>
      <c r="BQ258">
        <v>1485</v>
      </c>
      <c r="BR258">
        <v>20704</v>
      </c>
      <c r="BS258" t="s">
        <v>21</v>
      </c>
      <c r="BT258" t="s">
        <v>256</v>
      </c>
      <c r="BU258">
        <v>0</v>
      </c>
      <c r="BV258">
        <v>0.3</v>
      </c>
      <c r="BW258">
        <v>0</v>
      </c>
      <c r="BX258">
        <v>0.1</v>
      </c>
      <c r="BY258">
        <v>36.200000000000003</v>
      </c>
      <c r="BZ258">
        <v>36.5</v>
      </c>
      <c r="CA258">
        <v>10</v>
      </c>
      <c r="CB258">
        <v>10</v>
      </c>
      <c r="CC258">
        <v>0</v>
      </c>
      <c r="CD258">
        <f t="shared" si="86"/>
        <v>8.2191780821917471E-3</v>
      </c>
      <c r="CE258">
        <v>1</v>
      </c>
    </row>
    <row r="259" spans="1:83" x14ac:dyDescent="0.4">
      <c r="A259" t="s">
        <v>1206</v>
      </c>
      <c r="B259" t="s">
        <v>19</v>
      </c>
      <c r="C259" t="s">
        <v>19</v>
      </c>
      <c r="D259" t="s">
        <v>19</v>
      </c>
      <c r="E259" t="s">
        <v>49</v>
      </c>
      <c r="F259" t="s">
        <v>22</v>
      </c>
      <c r="G259">
        <v>30</v>
      </c>
      <c r="H259">
        <v>18</v>
      </c>
      <c r="I259">
        <v>16.5</v>
      </c>
      <c r="J259">
        <f t="shared" ref="J259:J301" si="91">G259-I259</f>
        <v>13.5</v>
      </c>
      <c r="K259">
        <f t="shared" ref="K259:K301" si="92">H259-I259</f>
        <v>1.5</v>
      </c>
      <c r="L259">
        <v>12</v>
      </c>
      <c r="M259">
        <v>16.7</v>
      </c>
      <c r="N259" t="s">
        <v>819</v>
      </c>
      <c r="O259" t="s">
        <v>820</v>
      </c>
      <c r="P259" t="s">
        <v>13</v>
      </c>
      <c r="Q259">
        <v>0.2</v>
      </c>
      <c r="R259" t="s">
        <v>13</v>
      </c>
      <c r="S259" t="s">
        <v>15</v>
      </c>
      <c r="T259" t="s">
        <v>14</v>
      </c>
      <c r="U259">
        <v>0</v>
      </c>
      <c r="V259" t="s">
        <v>14</v>
      </c>
      <c r="W259">
        <f>BC259/BB259</f>
        <v>0.5</v>
      </c>
      <c r="X259" t="s">
        <v>14</v>
      </c>
      <c r="Y259" t="s">
        <v>14</v>
      </c>
      <c r="Z259">
        <v>0</v>
      </c>
      <c r="AA259">
        <f t="shared" si="88"/>
        <v>3415.2046783625733</v>
      </c>
      <c r="AB259">
        <f t="shared" si="89"/>
        <v>67.251461988304087</v>
      </c>
      <c r="AC259">
        <f t="shared" si="90"/>
        <v>15.2046783625731</v>
      </c>
      <c r="AD259" t="s">
        <v>15</v>
      </c>
      <c r="AE259" t="s">
        <v>15</v>
      </c>
      <c r="AF259" t="s">
        <v>24</v>
      </c>
      <c r="AG259" t="s">
        <v>14</v>
      </c>
      <c r="AH259" t="s">
        <v>14</v>
      </c>
      <c r="AI259" t="s">
        <v>14</v>
      </c>
      <c r="AJ259" t="s">
        <v>14</v>
      </c>
      <c r="AK259" t="s">
        <v>14</v>
      </c>
      <c r="AL259" t="s">
        <v>14</v>
      </c>
      <c r="AM259">
        <f t="shared" si="87"/>
        <v>22.608695652173914</v>
      </c>
      <c r="AN259">
        <f t="shared" ref="AN259:AN301" si="93">SUM(BJ259:BQ259)/BE259</f>
        <v>3673.913043478261</v>
      </c>
      <c r="AO259">
        <f t="shared" ref="AO259:AO301" si="94">BJ259/BE259</f>
        <v>848.26086956521749</v>
      </c>
      <c r="AP259">
        <f t="shared" ref="AP259:AP301" si="95">SUM(BL259:BO259)/BE259</f>
        <v>1836.0869565217392</v>
      </c>
      <c r="AQ259">
        <f t="shared" ref="AQ259:AQ301" si="96">BK259/BE259</f>
        <v>913.04347826086962</v>
      </c>
      <c r="AR259">
        <f t="shared" ref="AR259:AR301" si="97">SUM(BK259,BP259,BQ259)/BE259</f>
        <v>989.56521739130437</v>
      </c>
      <c r="AS259">
        <f t="shared" ref="AS259:AS301" si="98">BH259*100/BD259</f>
        <v>6.7251461988304095</v>
      </c>
      <c r="AT259">
        <f t="shared" ref="AT259:AT301" si="99">BG259*100/BD259</f>
        <v>52.046783625730995</v>
      </c>
      <c r="AU259">
        <f t="shared" ref="AU259:AU301" si="100">BN259*100/SUM(BJ259:BQ259)</f>
        <v>19.822485207100591</v>
      </c>
      <c r="AV259">
        <f t="shared" ref="AV259:AV301" si="101">BK259*100/SUM(BJ259:BQ259)</f>
        <v>24.852071005917161</v>
      </c>
      <c r="AW259">
        <f t="shared" ref="AW259:AW301" si="102">SUM(BL259,BM259,BN259,BO259)*100/SUM(BJ259:BQ259)</f>
        <v>49.976331360946745</v>
      </c>
      <c r="AX259">
        <f t="shared" ref="AX259:AX301" si="103">SUM(BK259,BP259,BQ259)*100/SUM(BJ259:BQ259)</f>
        <v>26.934911242603551</v>
      </c>
      <c r="AY259">
        <f t="shared" ref="AY259:AY301" si="104">BR259/(BD259-BE259)</f>
        <v>2866.9642857142853</v>
      </c>
      <c r="AZ259">
        <f t="shared" ref="AZ259:AZ301" si="105">BN259/BE259</f>
        <v>728.26086956521749</v>
      </c>
      <c r="BA259">
        <f t="shared" ref="BA259:BA301" si="106">BG259*100/BE259</f>
        <v>77.391304347826093</v>
      </c>
      <c r="BB259" t="s">
        <v>31</v>
      </c>
      <c r="BC259" t="s">
        <v>16</v>
      </c>
      <c r="BD259">
        <v>3.42</v>
      </c>
      <c r="BE259">
        <v>2.2999999999999998</v>
      </c>
      <c r="BF259">
        <v>0.52</v>
      </c>
      <c r="BG259">
        <v>1.78</v>
      </c>
      <c r="BH259">
        <v>0.23</v>
      </c>
      <c r="BI259">
        <v>11680</v>
      </c>
      <c r="BJ259">
        <v>1951</v>
      </c>
      <c r="BK259">
        <v>2100</v>
      </c>
      <c r="BL259">
        <v>2030</v>
      </c>
      <c r="BM259">
        <v>77</v>
      </c>
      <c r="BN259">
        <v>1675</v>
      </c>
      <c r="BO259">
        <v>441</v>
      </c>
      <c r="BP259">
        <v>103</v>
      </c>
      <c r="BQ259">
        <v>73</v>
      </c>
      <c r="BR259">
        <v>3211</v>
      </c>
      <c r="BS259" t="s">
        <v>21</v>
      </c>
      <c r="BT259" t="s">
        <v>260</v>
      </c>
      <c r="BU259">
        <v>0</v>
      </c>
      <c r="BV259">
        <v>0</v>
      </c>
      <c r="BW259">
        <v>0</v>
      </c>
      <c r="BX259">
        <v>0</v>
      </c>
      <c r="BY259">
        <v>4.7</v>
      </c>
      <c r="BZ259">
        <v>4.7</v>
      </c>
      <c r="CA259">
        <v>2</v>
      </c>
      <c r="CB259">
        <v>1</v>
      </c>
      <c r="CC259">
        <v>0</v>
      </c>
      <c r="CD259">
        <f t="shared" ref="CD259:CD301" si="107">1-(BY259/BZ259)</f>
        <v>0</v>
      </c>
      <c r="CE259">
        <v>0.5</v>
      </c>
    </row>
    <row r="260" spans="1:83" x14ac:dyDescent="0.4">
      <c r="A260" t="s">
        <v>1207</v>
      </c>
      <c r="B260" t="s">
        <v>49</v>
      </c>
      <c r="C260" t="s">
        <v>73</v>
      </c>
      <c r="D260" t="s">
        <v>82</v>
      </c>
      <c r="E260" t="s">
        <v>49</v>
      </c>
      <c r="F260" t="s">
        <v>12</v>
      </c>
      <c r="G260">
        <v>70</v>
      </c>
      <c r="H260">
        <v>61</v>
      </c>
      <c r="I260">
        <v>79</v>
      </c>
      <c r="J260">
        <f t="shared" si="91"/>
        <v>-9</v>
      </c>
      <c r="K260">
        <f t="shared" si="92"/>
        <v>-18</v>
      </c>
      <c r="L260">
        <v>9</v>
      </c>
      <c r="M260">
        <v>78.900000000000006</v>
      </c>
      <c r="N260" t="s">
        <v>822</v>
      </c>
      <c r="O260" t="s">
        <v>823</v>
      </c>
      <c r="P260" t="s">
        <v>13</v>
      </c>
      <c r="Q260">
        <v>4.8</v>
      </c>
      <c r="R260" t="s">
        <v>13</v>
      </c>
      <c r="S260" t="s">
        <v>35</v>
      </c>
      <c r="T260" t="s">
        <v>14</v>
      </c>
      <c r="U260">
        <v>0</v>
      </c>
      <c r="V260" t="s">
        <v>14</v>
      </c>
      <c r="W260">
        <f>BC260/BB260</f>
        <v>1</v>
      </c>
      <c r="X260" t="s">
        <v>14</v>
      </c>
      <c r="Y260" t="s">
        <v>14</v>
      </c>
      <c r="Z260">
        <v>0</v>
      </c>
      <c r="AA260">
        <f t="shared" si="88"/>
        <v>5456.2152510044234</v>
      </c>
      <c r="AB260">
        <f t="shared" si="89"/>
        <v>93.035996915709589</v>
      </c>
      <c r="AC260">
        <f t="shared" si="90"/>
        <v>65.188101132259249</v>
      </c>
      <c r="AD260" t="s">
        <v>15</v>
      </c>
      <c r="AE260" t="s">
        <v>27</v>
      </c>
      <c r="AF260" t="s">
        <v>18</v>
      </c>
      <c r="AG260" t="s">
        <v>14</v>
      </c>
      <c r="AH260" t="s">
        <v>17</v>
      </c>
      <c r="AI260" t="s">
        <v>24</v>
      </c>
      <c r="AJ260" t="s">
        <v>14</v>
      </c>
      <c r="AK260" t="s">
        <v>17</v>
      </c>
      <c r="AL260" t="s">
        <v>14</v>
      </c>
      <c r="AM260">
        <f t="shared" si="87"/>
        <v>70.067611777535447</v>
      </c>
      <c r="AN260">
        <f t="shared" si="93"/>
        <v>5740.7241003271538</v>
      </c>
      <c r="AO260">
        <f t="shared" si="94"/>
        <v>4627.0708833151584</v>
      </c>
      <c r="AP260">
        <f t="shared" si="95"/>
        <v>591.16684841875679</v>
      </c>
      <c r="AQ260">
        <f t="shared" si="96"/>
        <v>412.50599781897489</v>
      </c>
      <c r="AR260">
        <f t="shared" si="97"/>
        <v>522.48636859323881</v>
      </c>
      <c r="AS260">
        <f t="shared" si="98"/>
        <v>2.5688892496246094</v>
      </c>
      <c r="AT260">
        <f t="shared" si="99"/>
        <v>27.847895783450348</v>
      </c>
      <c r="AU260">
        <f t="shared" si="100"/>
        <v>6.4313128342835171</v>
      </c>
      <c r="AV260">
        <f t="shared" si="101"/>
        <v>7.1856091776900914</v>
      </c>
      <c r="AW260">
        <f t="shared" si="102"/>
        <v>10.297774951161079</v>
      </c>
      <c r="AX260">
        <f t="shared" si="103"/>
        <v>9.1014018347173877</v>
      </c>
      <c r="AY260">
        <f t="shared" si="104"/>
        <v>1630.2447552447557</v>
      </c>
      <c r="AZ260">
        <f t="shared" si="105"/>
        <v>369.20392584514724</v>
      </c>
      <c r="BA260">
        <f t="shared" si="106"/>
        <v>29.93238822246456</v>
      </c>
      <c r="BB260" t="s">
        <v>16</v>
      </c>
      <c r="BC260" t="s">
        <v>16</v>
      </c>
      <c r="BD260">
        <v>246.41</v>
      </c>
      <c r="BE260">
        <v>229.25</v>
      </c>
      <c r="BF260">
        <v>160.63</v>
      </c>
      <c r="BG260">
        <v>68.62</v>
      </c>
      <c r="BH260">
        <v>6.33</v>
      </c>
      <c r="BI260">
        <v>1344466</v>
      </c>
      <c r="BJ260">
        <v>1060756</v>
      </c>
      <c r="BK260">
        <v>94567</v>
      </c>
      <c r="BL260">
        <v>23439</v>
      </c>
      <c r="BM260">
        <v>21405</v>
      </c>
      <c r="BN260">
        <v>84640</v>
      </c>
      <c r="BO260">
        <v>6041</v>
      </c>
      <c r="BP260">
        <v>19924</v>
      </c>
      <c r="BQ260">
        <v>5289</v>
      </c>
      <c r="BR260">
        <v>27975</v>
      </c>
      <c r="BS260" t="s">
        <v>21</v>
      </c>
      <c r="BT260" t="s">
        <v>821</v>
      </c>
      <c r="BU260">
        <v>0</v>
      </c>
      <c r="BV260">
        <v>0.5</v>
      </c>
      <c r="BW260">
        <v>0</v>
      </c>
      <c r="BX260">
        <v>0.1</v>
      </c>
      <c r="BY260">
        <v>344.6</v>
      </c>
      <c r="BZ260">
        <v>364.8</v>
      </c>
      <c r="CA260">
        <v>1</v>
      </c>
      <c r="CB260">
        <v>1</v>
      </c>
      <c r="CC260">
        <v>0</v>
      </c>
      <c r="CD260">
        <f t="shared" si="107"/>
        <v>5.5372807017543879E-2</v>
      </c>
      <c r="CE260">
        <v>1</v>
      </c>
    </row>
    <row r="261" spans="1:83" x14ac:dyDescent="0.4">
      <c r="A261" t="s">
        <v>1208</v>
      </c>
      <c r="B261" t="s">
        <v>49</v>
      </c>
      <c r="C261" t="s">
        <v>73</v>
      </c>
      <c r="D261" t="s">
        <v>82</v>
      </c>
      <c r="E261" t="s">
        <v>49</v>
      </c>
      <c r="F261" t="s">
        <v>22</v>
      </c>
      <c r="G261">
        <v>60</v>
      </c>
      <c r="H261">
        <v>45</v>
      </c>
      <c r="I261">
        <v>59</v>
      </c>
      <c r="J261">
        <f t="shared" si="91"/>
        <v>1</v>
      </c>
      <c r="K261">
        <f t="shared" si="92"/>
        <v>-14</v>
      </c>
      <c r="L261">
        <v>15</v>
      </c>
      <c r="M261">
        <v>58.93</v>
      </c>
      <c r="N261" t="s">
        <v>824</v>
      </c>
      <c r="O261" t="s">
        <v>825</v>
      </c>
      <c r="P261" t="s">
        <v>13</v>
      </c>
      <c r="Q261">
        <v>1.6</v>
      </c>
      <c r="R261" t="s">
        <v>26</v>
      </c>
      <c r="S261" t="s">
        <v>15</v>
      </c>
      <c r="T261" t="s">
        <v>14</v>
      </c>
      <c r="U261">
        <v>17.5</v>
      </c>
      <c r="V261" t="s">
        <v>17</v>
      </c>
      <c r="W261">
        <f>BC261/BB261</f>
        <v>1</v>
      </c>
      <c r="X261" t="s">
        <v>14</v>
      </c>
      <c r="Y261" t="s">
        <v>14</v>
      </c>
      <c r="Z261">
        <v>5</v>
      </c>
      <c r="AA261">
        <f t="shared" si="88"/>
        <v>5388.3942766295704</v>
      </c>
      <c r="AB261">
        <f t="shared" si="89"/>
        <v>86.486486486486484</v>
      </c>
      <c r="AC261">
        <f t="shared" si="90"/>
        <v>38.473767885532588</v>
      </c>
      <c r="AD261" t="s">
        <v>15</v>
      </c>
      <c r="AE261" t="s">
        <v>15</v>
      </c>
      <c r="AF261" t="s">
        <v>24</v>
      </c>
      <c r="AG261" t="s">
        <v>14</v>
      </c>
      <c r="AH261" t="s">
        <v>14</v>
      </c>
      <c r="AI261" t="s">
        <v>18</v>
      </c>
      <c r="AJ261" t="s">
        <v>14</v>
      </c>
      <c r="AK261" t="s">
        <v>14</v>
      </c>
      <c r="AL261" t="s">
        <v>17</v>
      </c>
      <c r="AM261">
        <f t="shared" si="87"/>
        <v>44.485294117647058</v>
      </c>
      <c r="AN261">
        <f t="shared" si="93"/>
        <v>6103.125</v>
      </c>
      <c r="AO261">
        <f t="shared" si="94"/>
        <v>3671.3235294117644</v>
      </c>
      <c r="AP261">
        <f t="shared" si="95"/>
        <v>896.50735294117635</v>
      </c>
      <c r="AQ261">
        <f t="shared" si="96"/>
        <v>1367.2794117647059</v>
      </c>
      <c r="AR261">
        <f t="shared" si="97"/>
        <v>1535.2941176470588</v>
      </c>
      <c r="AS261">
        <f t="shared" si="98"/>
        <v>4.7694753577106521</v>
      </c>
      <c r="AT261">
        <f t="shared" si="99"/>
        <v>48.012718600953896</v>
      </c>
      <c r="AU261">
        <f t="shared" si="100"/>
        <v>10.843046896177826</v>
      </c>
      <c r="AV261">
        <f t="shared" si="101"/>
        <v>22.402939670491854</v>
      </c>
      <c r="AW261">
        <f t="shared" si="102"/>
        <v>14.689316586849793</v>
      </c>
      <c r="AX261">
        <f t="shared" si="103"/>
        <v>25.155868799132556</v>
      </c>
      <c r="AY261">
        <f t="shared" si="104"/>
        <v>794.11764705882388</v>
      </c>
      <c r="AZ261">
        <f t="shared" si="105"/>
        <v>661.76470588235293</v>
      </c>
      <c r="BA261">
        <f t="shared" si="106"/>
        <v>55.514705882352935</v>
      </c>
      <c r="BB261" t="s">
        <v>29</v>
      </c>
      <c r="BC261" t="s">
        <v>29</v>
      </c>
      <c r="BD261">
        <v>6.29</v>
      </c>
      <c r="BE261">
        <v>5.44</v>
      </c>
      <c r="BF261">
        <v>2.42</v>
      </c>
      <c r="BG261">
        <v>3.02</v>
      </c>
      <c r="BH261">
        <v>0.3</v>
      </c>
      <c r="BI261">
        <v>33893</v>
      </c>
      <c r="BJ261">
        <v>19972</v>
      </c>
      <c r="BK261">
        <v>7438</v>
      </c>
      <c r="BL261">
        <v>828</v>
      </c>
      <c r="BM261">
        <v>145</v>
      </c>
      <c r="BN261">
        <v>3600</v>
      </c>
      <c r="BO261">
        <v>304</v>
      </c>
      <c r="BP261">
        <v>811</v>
      </c>
      <c r="BQ261">
        <v>103</v>
      </c>
      <c r="BR261">
        <v>675</v>
      </c>
      <c r="BS261" t="s">
        <v>21</v>
      </c>
      <c r="BT261" t="s">
        <v>275</v>
      </c>
      <c r="BU261">
        <v>0</v>
      </c>
      <c r="BV261">
        <v>0.2</v>
      </c>
      <c r="BW261">
        <v>0</v>
      </c>
      <c r="BX261">
        <v>2.4</v>
      </c>
      <c r="BY261">
        <v>7.9</v>
      </c>
      <c r="BZ261">
        <v>8.1999999999999993</v>
      </c>
      <c r="CA261">
        <v>5</v>
      </c>
      <c r="CB261">
        <v>5</v>
      </c>
      <c r="CC261">
        <v>0</v>
      </c>
      <c r="CD261">
        <f t="shared" si="107"/>
        <v>3.6585365853658458E-2</v>
      </c>
      <c r="CE261">
        <v>1</v>
      </c>
    </row>
    <row r="262" spans="1:83" x14ac:dyDescent="0.4">
      <c r="A262" t="s">
        <v>1209</v>
      </c>
      <c r="B262" t="s">
        <v>42</v>
      </c>
      <c r="C262" t="s">
        <v>82</v>
      </c>
      <c r="D262" t="s">
        <v>82</v>
      </c>
      <c r="E262" t="s">
        <v>69</v>
      </c>
      <c r="F262" t="s">
        <v>22</v>
      </c>
      <c r="G262">
        <v>30</v>
      </c>
      <c r="H262">
        <v>93</v>
      </c>
      <c r="I262">
        <v>67.5</v>
      </c>
      <c r="J262">
        <f t="shared" si="91"/>
        <v>-37.5</v>
      </c>
      <c r="K262">
        <f t="shared" si="92"/>
        <v>25.5</v>
      </c>
      <c r="L262">
        <v>-63</v>
      </c>
      <c r="M262">
        <v>67.39</v>
      </c>
      <c r="N262" t="s">
        <v>827</v>
      </c>
      <c r="O262" t="s">
        <v>828</v>
      </c>
      <c r="P262" t="s">
        <v>13</v>
      </c>
      <c r="Q262">
        <v>32.6</v>
      </c>
      <c r="R262" t="s">
        <v>26</v>
      </c>
      <c r="S262" t="s">
        <v>15</v>
      </c>
      <c r="T262" t="s">
        <v>14</v>
      </c>
      <c r="U262">
        <v>55</v>
      </c>
      <c r="V262" t="s">
        <v>17</v>
      </c>
      <c r="W262" t="s">
        <v>52</v>
      </c>
      <c r="X262" t="s">
        <v>14</v>
      </c>
      <c r="Y262" t="s">
        <v>17</v>
      </c>
      <c r="Z262">
        <v>30</v>
      </c>
      <c r="AA262">
        <f t="shared" si="88"/>
        <v>2300.2296627583705</v>
      </c>
      <c r="AB262">
        <f t="shared" si="89"/>
        <v>31.355010274386558</v>
      </c>
      <c r="AC262">
        <f t="shared" si="90"/>
        <v>18.953221322373988</v>
      </c>
      <c r="AD262" t="s">
        <v>27</v>
      </c>
      <c r="AE262" t="s">
        <v>36</v>
      </c>
      <c r="AF262" t="s">
        <v>18</v>
      </c>
      <c r="AG262" t="s">
        <v>14</v>
      </c>
      <c r="AH262" t="s">
        <v>14</v>
      </c>
      <c r="AI262" t="s">
        <v>18</v>
      </c>
      <c r="AJ262" t="s">
        <v>14</v>
      </c>
      <c r="AK262" t="s">
        <v>14</v>
      </c>
      <c r="AL262" t="s">
        <v>14</v>
      </c>
      <c r="AM262">
        <f t="shared" si="87"/>
        <v>60.447185813415572</v>
      </c>
      <c r="AN262">
        <f t="shared" si="93"/>
        <v>6566.4996144949882</v>
      </c>
      <c r="AO262">
        <f t="shared" si="94"/>
        <v>4944.0246723207401</v>
      </c>
      <c r="AP262">
        <f t="shared" si="95"/>
        <v>427.94911333847335</v>
      </c>
      <c r="AQ262">
        <f t="shared" si="96"/>
        <v>433.92444101773322</v>
      </c>
      <c r="AR262">
        <f t="shared" si="97"/>
        <v>1194.5258288357747</v>
      </c>
      <c r="AS262">
        <f t="shared" si="98"/>
        <v>59.49474193158467</v>
      </c>
      <c r="AT262">
        <f t="shared" si="99"/>
        <v>12.40178895201257</v>
      </c>
      <c r="AU262">
        <f t="shared" si="100"/>
        <v>3.5729591686969795</v>
      </c>
      <c r="AV262">
        <f t="shared" si="101"/>
        <v>6.6081545190360176</v>
      </c>
      <c r="AW262">
        <f t="shared" si="102"/>
        <v>6.5171573663662778</v>
      </c>
      <c r="AX262">
        <f t="shared" si="103"/>
        <v>18.191211436287315</v>
      </c>
      <c r="AY262">
        <f t="shared" si="104"/>
        <v>350.27293537594642</v>
      </c>
      <c r="AZ262">
        <f t="shared" si="105"/>
        <v>234.61835003855049</v>
      </c>
      <c r="BA262">
        <f t="shared" si="106"/>
        <v>39.55281418658442</v>
      </c>
      <c r="BB262" t="s">
        <v>52</v>
      </c>
      <c r="BC262" t="s">
        <v>52</v>
      </c>
      <c r="BD262">
        <v>82.73</v>
      </c>
      <c r="BE262">
        <v>25.94</v>
      </c>
      <c r="BF262">
        <v>15.68</v>
      </c>
      <c r="BG262">
        <v>10.26</v>
      </c>
      <c r="BH262">
        <v>49.22</v>
      </c>
      <c r="BI262">
        <v>190298</v>
      </c>
      <c r="BJ262">
        <v>128248</v>
      </c>
      <c r="BK262">
        <v>11256</v>
      </c>
      <c r="BL262">
        <v>1689</v>
      </c>
      <c r="BM262">
        <v>188</v>
      </c>
      <c r="BN262">
        <v>6086</v>
      </c>
      <c r="BO262">
        <v>3138</v>
      </c>
      <c r="BP262">
        <v>2660</v>
      </c>
      <c r="BQ262">
        <v>17070</v>
      </c>
      <c r="BR262">
        <v>19892</v>
      </c>
      <c r="BS262" t="s">
        <v>21</v>
      </c>
      <c r="BT262" t="s">
        <v>826</v>
      </c>
      <c r="BU262">
        <v>0</v>
      </c>
      <c r="BV262">
        <v>6</v>
      </c>
      <c r="BW262">
        <v>0</v>
      </c>
      <c r="BX262">
        <v>11</v>
      </c>
      <c r="BY262">
        <v>116.2</v>
      </c>
      <c r="BZ262">
        <v>231.2</v>
      </c>
      <c r="CA262">
        <v>10</v>
      </c>
      <c r="CB262">
        <v>10</v>
      </c>
      <c r="CC262">
        <v>0</v>
      </c>
      <c r="CD262">
        <f t="shared" si="107"/>
        <v>0.49740484429065746</v>
      </c>
      <c r="CE262">
        <v>1</v>
      </c>
    </row>
    <row r="263" spans="1:83" x14ac:dyDescent="0.4">
      <c r="A263" t="s">
        <v>1210</v>
      </c>
      <c r="B263" t="s">
        <v>69</v>
      </c>
      <c r="C263" t="s">
        <v>73</v>
      </c>
      <c r="D263" t="s">
        <v>82</v>
      </c>
      <c r="E263" t="s">
        <v>69</v>
      </c>
      <c r="F263" t="s">
        <v>12</v>
      </c>
      <c r="G263">
        <v>30</v>
      </c>
      <c r="H263">
        <v>26</v>
      </c>
      <c r="I263">
        <v>1</v>
      </c>
      <c r="J263">
        <f t="shared" si="91"/>
        <v>29</v>
      </c>
      <c r="K263">
        <f t="shared" si="92"/>
        <v>25</v>
      </c>
      <c r="L263">
        <v>4</v>
      </c>
      <c r="M263">
        <v>0.86</v>
      </c>
      <c r="N263" t="s">
        <v>829</v>
      </c>
      <c r="O263" t="s">
        <v>830</v>
      </c>
      <c r="P263" t="s">
        <v>13</v>
      </c>
      <c r="Q263">
        <v>1</v>
      </c>
      <c r="R263" t="s">
        <v>13</v>
      </c>
      <c r="S263" t="s">
        <v>15</v>
      </c>
      <c r="T263" t="s">
        <v>14</v>
      </c>
      <c r="U263">
        <v>0</v>
      </c>
      <c r="V263" t="s">
        <v>14</v>
      </c>
      <c r="W263">
        <f>BC263/BB263</f>
        <v>1</v>
      </c>
      <c r="X263" t="s">
        <v>14</v>
      </c>
      <c r="Y263" t="s">
        <v>14</v>
      </c>
      <c r="Z263">
        <v>0</v>
      </c>
      <c r="AA263">
        <f t="shared" si="88"/>
        <v>3956.1211504199541</v>
      </c>
      <c r="AB263">
        <f t="shared" si="89"/>
        <v>2.5483583609060831</v>
      </c>
      <c r="AC263">
        <f t="shared" si="90"/>
        <v>0.68401628913209467</v>
      </c>
      <c r="AD263" t="s">
        <v>27</v>
      </c>
      <c r="AE263" t="s">
        <v>27</v>
      </c>
      <c r="AF263" t="s">
        <v>24</v>
      </c>
      <c r="AG263" t="s">
        <v>14</v>
      </c>
      <c r="AH263" t="s">
        <v>17</v>
      </c>
      <c r="AI263" t="s">
        <v>24</v>
      </c>
      <c r="AJ263" t="s">
        <v>14</v>
      </c>
      <c r="AK263" t="s">
        <v>14</v>
      </c>
      <c r="AL263" t="s">
        <v>17</v>
      </c>
      <c r="AM263">
        <f t="shared" si="87"/>
        <v>26.841448189762797</v>
      </c>
      <c r="AN263">
        <f t="shared" si="93"/>
        <v>6694.3820224719102</v>
      </c>
      <c r="AO263">
        <f t="shared" si="94"/>
        <v>1329.0886392009988</v>
      </c>
      <c r="AP263">
        <f t="shared" si="95"/>
        <v>2910.4868913857676</v>
      </c>
      <c r="AQ263">
        <f t="shared" si="96"/>
        <v>1894.5068664169789</v>
      </c>
      <c r="AR263">
        <f t="shared" si="97"/>
        <v>2454.8064918851437</v>
      </c>
      <c r="AS263">
        <f t="shared" si="98"/>
        <v>5.4085008908119118E-2</v>
      </c>
      <c r="AT263">
        <f t="shared" si="99"/>
        <v>1.861160600661746</v>
      </c>
      <c r="AU263">
        <f t="shared" si="100"/>
        <v>28.064973331841408</v>
      </c>
      <c r="AV263">
        <f t="shared" si="101"/>
        <v>28.299951512438923</v>
      </c>
      <c r="AW263">
        <f t="shared" si="102"/>
        <v>43.476558129126104</v>
      </c>
      <c r="AX263">
        <f t="shared" si="103"/>
        <v>36.669650516579019</v>
      </c>
      <c r="AY263">
        <f t="shared" si="104"/>
        <v>3883.8170480885378</v>
      </c>
      <c r="AZ263">
        <f t="shared" si="105"/>
        <v>1878.7765293383272</v>
      </c>
      <c r="BA263">
        <f t="shared" si="106"/>
        <v>73.033707865168537</v>
      </c>
      <c r="BB263" t="s">
        <v>16</v>
      </c>
      <c r="BC263" t="s">
        <v>16</v>
      </c>
      <c r="BD263">
        <v>314.32</v>
      </c>
      <c r="BE263">
        <v>8.01</v>
      </c>
      <c r="BF263">
        <v>2.15</v>
      </c>
      <c r="BG263">
        <v>5.85</v>
      </c>
      <c r="BH263">
        <v>0.17</v>
      </c>
      <c r="BI263">
        <v>1243488</v>
      </c>
      <c r="BJ263">
        <v>10646</v>
      </c>
      <c r="BK263">
        <v>15175</v>
      </c>
      <c r="BL263">
        <v>2580</v>
      </c>
      <c r="BM263">
        <v>4960</v>
      </c>
      <c r="BN263">
        <v>15049</v>
      </c>
      <c r="BO263">
        <v>724</v>
      </c>
      <c r="BP263">
        <v>3513</v>
      </c>
      <c r="BQ263">
        <v>975</v>
      </c>
      <c r="BR263">
        <v>1189652</v>
      </c>
      <c r="BS263" t="s">
        <v>21</v>
      </c>
      <c r="BT263" t="s">
        <v>484</v>
      </c>
      <c r="BU263">
        <v>0</v>
      </c>
      <c r="BV263">
        <v>0.8</v>
      </c>
      <c r="BW263">
        <v>0.8</v>
      </c>
      <c r="BX263">
        <v>0.1</v>
      </c>
      <c r="BY263">
        <v>362.1</v>
      </c>
      <c r="BZ263">
        <v>371.9</v>
      </c>
      <c r="CA263">
        <v>1</v>
      </c>
      <c r="CB263">
        <v>1</v>
      </c>
      <c r="CC263">
        <v>0</v>
      </c>
      <c r="CD263">
        <f t="shared" si="107"/>
        <v>2.6351169669265762E-2</v>
      </c>
      <c r="CE263">
        <v>1</v>
      </c>
    </row>
    <row r="264" spans="1:83" x14ac:dyDescent="0.4">
      <c r="A264" t="s">
        <v>1211</v>
      </c>
      <c r="B264" t="s">
        <v>69</v>
      </c>
      <c r="C264" t="s">
        <v>73</v>
      </c>
      <c r="D264" t="s">
        <v>82</v>
      </c>
      <c r="E264" t="s">
        <v>69</v>
      </c>
      <c r="F264" t="s">
        <v>22</v>
      </c>
      <c r="G264">
        <v>20</v>
      </c>
      <c r="H264">
        <v>40</v>
      </c>
      <c r="I264">
        <v>44</v>
      </c>
      <c r="J264">
        <f t="shared" si="91"/>
        <v>-24</v>
      </c>
      <c r="K264">
        <f t="shared" si="92"/>
        <v>-4</v>
      </c>
      <c r="L264">
        <v>-20</v>
      </c>
      <c r="M264">
        <v>44.17</v>
      </c>
      <c r="N264" t="s">
        <v>831</v>
      </c>
      <c r="O264" t="s">
        <v>832</v>
      </c>
      <c r="P264" t="s">
        <v>13</v>
      </c>
      <c r="Q264">
        <v>0.6</v>
      </c>
      <c r="R264" t="s">
        <v>26</v>
      </c>
      <c r="S264" t="s">
        <v>15</v>
      </c>
      <c r="T264" t="s">
        <v>14</v>
      </c>
      <c r="U264">
        <v>7.5</v>
      </c>
      <c r="V264" t="s">
        <v>14</v>
      </c>
      <c r="W264" t="s">
        <v>52</v>
      </c>
      <c r="X264" t="s">
        <v>14</v>
      </c>
      <c r="Y264" t="s">
        <v>17</v>
      </c>
      <c r="Z264">
        <v>0</v>
      </c>
      <c r="AA264">
        <f t="shared" si="88"/>
        <v>6601.6993464052284</v>
      </c>
      <c r="AB264">
        <f t="shared" si="89"/>
        <v>60.522875816993462</v>
      </c>
      <c r="AC264">
        <f t="shared" si="90"/>
        <v>25.620915032679736</v>
      </c>
      <c r="AD264" t="s">
        <v>15</v>
      </c>
      <c r="AE264" t="s">
        <v>27</v>
      </c>
      <c r="AF264" t="s">
        <v>18</v>
      </c>
      <c r="AG264" t="s">
        <v>17</v>
      </c>
      <c r="AH264" t="s">
        <v>14</v>
      </c>
      <c r="AI264" t="s">
        <v>24</v>
      </c>
      <c r="AJ264" t="s">
        <v>14</v>
      </c>
      <c r="AK264" t="s">
        <v>17</v>
      </c>
      <c r="AL264" t="s">
        <v>17</v>
      </c>
      <c r="AM264">
        <f t="shared" si="87"/>
        <v>42.332613390928728</v>
      </c>
      <c r="AN264">
        <f t="shared" si="93"/>
        <v>8647.6241900647947</v>
      </c>
      <c r="AO264">
        <f t="shared" si="94"/>
        <v>4817.6025917926563</v>
      </c>
      <c r="AP264">
        <f t="shared" si="95"/>
        <v>2259.5032397408208</v>
      </c>
      <c r="AQ264">
        <f t="shared" si="96"/>
        <v>824.8380129589633</v>
      </c>
      <c r="AR264">
        <f t="shared" si="97"/>
        <v>1570.5183585313175</v>
      </c>
      <c r="AS264">
        <f t="shared" si="98"/>
        <v>12.287581699346404</v>
      </c>
      <c r="AT264">
        <f t="shared" si="99"/>
        <v>34.901960784313722</v>
      </c>
      <c r="AU264">
        <f t="shared" si="100"/>
        <v>11.201718346091887</v>
      </c>
      <c r="AV264">
        <f t="shared" si="101"/>
        <v>9.5383193676086773</v>
      </c>
      <c r="AW264">
        <f t="shared" si="102"/>
        <v>26.128601221324477</v>
      </c>
      <c r="AX264">
        <f t="shared" si="103"/>
        <v>18.161269777838829</v>
      </c>
      <c r="AY264">
        <f t="shared" si="104"/>
        <v>3413.7417218543042</v>
      </c>
      <c r="AZ264">
        <f t="shared" si="105"/>
        <v>968.68250539956807</v>
      </c>
      <c r="BA264">
        <f t="shared" si="106"/>
        <v>57.667386609071272</v>
      </c>
      <c r="BB264" t="s">
        <v>52</v>
      </c>
      <c r="BC264" t="s">
        <v>52</v>
      </c>
      <c r="BD264">
        <v>15.3</v>
      </c>
      <c r="BE264">
        <v>9.26</v>
      </c>
      <c r="BF264">
        <v>3.92</v>
      </c>
      <c r="BG264">
        <v>5.34</v>
      </c>
      <c r="BH264">
        <v>1.88</v>
      </c>
      <c r="BI264">
        <v>101006</v>
      </c>
      <c r="BJ264">
        <v>44611</v>
      </c>
      <c r="BK264">
        <v>7638</v>
      </c>
      <c r="BL264">
        <v>1336</v>
      </c>
      <c r="BM264">
        <v>1056</v>
      </c>
      <c r="BN264">
        <v>8970</v>
      </c>
      <c r="BO264">
        <v>9561</v>
      </c>
      <c r="BP264">
        <v>4756</v>
      </c>
      <c r="BQ264">
        <v>2149</v>
      </c>
      <c r="BR264">
        <v>20619</v>
      </c>
      <c r="BS264" t="s">
        <v>21</v>
      </c>
      <c r="BT264" t="s">
        <v>272</v>
      </c>
      <c r="BU264">
        <v>0</v>
      </c>
      <c r="BV264">
        <v>0.1</v>
      </c>
      <c r="BW264">
        <v>0</v>
      </c>
      <c r="BX264">
        <v>1.2</v>
      </c>
      <c r="BY264">
        <v>18.5</v>
      </c>
      <c r="BZ264">
        <v>18.8</v>
      </c>
      <c r="CA264">
        <v>10</v>
      </c>
      <c r="CB264">
        <v>10</v>
      </c>
      <c r="CC264">
        <v>0</v>
      </c>
      <c r="CD264">
        <f t="shared" si="107"/>
        <v>1.5957446808510634E-2</v>
      </c>
      <c r="CE264">
        <v>1</v>
      </c>
    </row>
    <row r="265" spans="1:83" x14ac:dyDescent="0.4">
      <c r="A265" t="s">
        <v>1212</v>
      </c>
      <c r="B265" t="s">
        <v>69</v>
      </c>
      <c r="C265" t="s">
        <v>73</v>
      </c>
      <c r="D265" t="s">
        <v>82</v>
      </c>
      <c r="E265" t="s">
        <v>69</v>
      </c>
      <c r="F265" t="s">
        <v>22</v>
      </c>
      <c r="G265">
        <v>20</v>
      </c>
      <c r="H265">
        <v>47</v>
      </c>
      <c r="I265">
        <v>38.5</v>
      </c>
      <c r="J265">
        <f t="shared" si="91"/>
        <v>-18.5</v>
      </c>
      <c r="K265">
        <f t="shared" si="92"/>
        <v>8.5</v>
      </c>
      <c r="L265">
        <v>-27</v>
      </c>
      <c r="M265">
        <v>38.46</v>
      </c>
      <c r="N265" t="s">
        <v>833</v>
      </c>
      <c r="O265" t="s">
        <v>834</v>
      </c>
      <c r="P265" t="s">
        <v>26</v>
      </c>
      <c r="Q265">
        <v>7</v>
      </c>
      <c r="R265" t="s">
        <v>26</v>
      </c>
      <c r="S265" t="s">
        <v>15</v>
      </c>
      <c r="T265" t="s">
        <v>14</v>
      </c>
      <c r="U265">
        <v>20</v>
      </c>
      <c r="V265" t="s">
        <v>17</v>
      </c>
      <c r="W265" t="s">
        <v>52</v>
      </c>
      <c r="X265" t="s">
        <v>14</v>
      </c>
      <c r="Y265" t="s">
        <v>17</v>
      </c>
      <c r="Z265">
        <v>20</v>
      </c>
      <c r="AA265">
        <f t="shared" si="88"/>
        <v>4449.5145631067962</v>
      </c>
      <c r="AB265">
        <f t="shared" si="89"/>
        <v>59.708737864077669</v>
      </c>
      <c r="AC265">
        <f t="shared" si="90"/>
        <v>23.300970873786408</v>
      </c>
      <c r="AD265" t="s">
        <v>15</v>
      </c>
      <c r="AE265" t="s">
        <v>37</v>
      </c>
      <c r="AF265" t="s">
        <v>18</v>
      </c>
      <c r="AG265" t="s">
        <v>17</v>
      </c>
      <c r="AH265" t="s">
        <v>14</v>
      </c>
      <c r="AI265" t="s">
        <v>41</v>
      </c>
      <c r="AJ265" t="s">
        <v>14</v>
      </c>
      <c r="AK265" t="s">
        <v>17</v>
      </c>
      <c r="AL265" t="s">
        <v>14</v>
      </c>
      <c r="AM265">
        <f t="shared" si="87"/>
        <v>39.024390243902438</v>
      </c>
      <c r="AN265">
        <f t="shared" si="93"/>
        <v>6161.7886178861791</v>
      </c>
      <c r="AO265">
        <f t="shared" si="94"/>
        <v>2865.8536585365855</v>
      </c>
      <c r="AP265">
        <f t="shared" si="95"/>
        <v>1521.9512195121952</v>
      </c>
      <c r="AQ265">
        <f t="shared" si="96"/>
        <v>751.21951219512198</v>
      </c>
      <c r="AR265">
        <f t="shared" si="97"/>
        <v>1773.9837398373984</v>
      </c>
      <c r="AS265">
        <f t="shared" si="98"/>
        <v>27.912621359223298</v>
      </c>
      <c r="AT265">
        <f t="shared" si="99"/>
        <v>36.407766990291265</v>
      </c>
      <c r="AU265">
        <f t="shared" si="100"/>
        <v>10.13986013986014</v>
      </c>
      <c r="AV265">
        <f t="shared" si="101"/>
        <v>12.191582002902758</v>
      </c>
      <c r="AW265">
        <f t="shared" si="102"/>
        <v>24.69982847341338</v>
      </c>
      <c r="AX265">
        <f t="shared" si="103"/>
        <v>28.790077846681619</v>
      </c>
      <c r="AY265">
        <f t="shared" si="104"/>
        <v>1873.4939759036142</v>
      </c>
      <c r="AZ265">
        <f t="shared" si="105"/>
        <v>624.79674796747963</v>
      </c>
      <c r="BA265">
        <f t="shared" si="106"/>
        <v>60.975609756097562</v>
      </c>
      <c r="BB265" t="s">
        <v>52</v>
      </c>
      <c r="BC265" t="s">
        <v>52</v>
      </c>
      <c r="BD265">
        <v>4.12</v>
      </c>
      <c r="BE265">
        <v>2.46</v>
      </c>
      <c r="BF265">
        <v>0.96</v>
      </c>
      <c r="BG265">
        <v>1.5</v>
      </c>
      <c r="BH265">
        <v>1.1499999999999999</v>
      </c>
      <c r="BI265">
        <v>18332</v>
      </c>
      <c r="BJ265">
        <v>7050</v>
      </c>
      <c r="BK265">
        <v>1848</v>
      </c>
      <c r="BL265">
        <v>460</v>
      </c>
      <c r="BM265">
        <v>205</v>
      </c>
      <c r="BN265">
        <v>1537</v>
      </c>
      <c r="BO265">
        <v>1542</v>
      </c>
      <c r="BP265">
        <v>810</v>
      </c>
      <c r="BQ265">
        <v>1706</v>
      </c>
      <c r="BR265">
        <v>3110</v>
      </c>
      <c r="BS265" t="s">
        <v>21</v>
      </c>
      <c r="BT265" t="s">
        <v>398</v>
      </c>
      <c r="BU265">
        <v>0</v>
      </c>
      <c r="BV265">
        <v>1.2</v>
      </c>
      <c r="BW265">
        <v>11.4</v>
      </c>
      <c r="BX265">
        <v>1.8</v>
      </c>
      <c r="BY265">
        <v>5.9</v>
      </c>
      <c r="BZ265">
        <v>7.6</v>
      </c>
      <c r="CA265">
        <v>10</v>
      </c>
      <c r="CB265">
        <v>10</v>
      </c>
      <c r="CC265">
        <v>0</v>
      </c>
      <c r="CD265">
        <f t="shared" si="107"/>
        <v>0.22368421052631571</v>
      </c>
      <c r="CE265">
        <v>1</v>
      </c>
    </row>
    <row r="266" spans="1:83" x14ac:dyDescent="0.4">
      <c r="A266" t="s">
        <v>1213</v>
      </c>
      <c r="B266" t="s">
        <v>69</v>
      </c>
      <c r="C266" t="s">
        <v>73</v>
      </c>
      <c r="D266" t="s">
        <v>82</v>
      </c>
      <c r="E266" t="s">
        <v>69</v>
      </c>
      <c r="F266" t="s">
        <v>22</v>
      </c>
      <c r="G266">
        <v>30</v>
      </c>
      <c r="H266">
        <v>70</v>
      </c>
      <c r="I266">
        <v>50</v>
      </c>
      <c r="J266">
        <f t="shared" si="91"/>
        <v>-20</v>
      </c>
      <c r="K266">
        <f t="shared" si="92"/>
        <v>20</v>
      </c>
      <c r="L266">
        <v>-40</v>
      </c>
      <c r="M266">
        <v>50.03</v>
      </c>
      <c r="N266" t="s">
        <v>835</v>
      </c>
      <c r="O266" t="s">
        <v>836</v>
      </c>
      <c r="P266" t="s">
        <v>13</v>
      </c>
      <c r="Q266">
        <v>0.8</v>
      </c>
      <c r="R266" t="s">
        <v>13</v>
      </c>
      <c r="S266" t="s">
        <v>15</v>
      </c>
      <c r="T266" t="s">
        <v>14</v>
      </c>
      <c r="U266">
        <v>2.5</v>
      </c>
      <c r="V266" t="s">
        <v>14</v>
      </c>
      <c r="W266">
        <f>BC266/BB266</f>
        <v>0.7142857142857143</v>
      </c>
      <c r="X266" t="s">
        <v>14</v>
      </c>
      <c r="Y266" t="s">
        <v>14</v>
      </c>
      <c r="Z266">
        <v>0</v>
      </c>
      <c r="AA266">
        <f t="shared" si="88"/>
        <v>7730.2542372881353</v>
      </c>
      <c r="AB266">
        <f t="shared" si="89"/>
        <v>69.067796610169481</v>
      </c>
      <c r="AC266">
        <f t="shared" si="90"/>
        <v>46.101694915254235</v>
      </c>
      <c r="AD266" t="s">
        <v>27</v>
      </c>
      <c r="AE266" t="s">
        <v>37</v>
      </c>
      <c r="AF266" t="s">
        <v>18</v>
      </c>
      <c r="AG266" t="s">
        <v>17</v>
      </c>
      <c r="AH266" t="s">
        <v>17</v>
      </c>
      <c r="AI266" t="s">
        <v>41</v>
      </c>
      <c r="AJ266" t="s">
        <v>14</v>
      </c>
      <c r="AK266" t="s">
        <v>17</v>
      </c>
      <c r="AL266" t="s">
        <v>17</v>
      </c>
      <c r="AM266">
        <f t="shared" si="87"/>
        <v>66.74846625766871</v>
      </c>
      <c r="AN266">
        <f t="shared" si="93"/>
        <v>9288.3435582822076</v>
      </c>
      <c r="AO266">
        <f t="shared" si="94"/>
        <v>5599.2638036809813</v>
      </c>
      <c r="AP266">
        <f t="shared" si="95"/>
        <v>1803.6809815950919</v>
      </c>
      <c r="AQ266">
        <f t="shared" si="96"/>
        <v>766.74846625766872</v>
      </c>
      <c r="AR266">
        <f t="shared" si="97"/>
        <v>1885.3987730061349</v>
      </c>
      <c r="AS266">
        <f t="shared" si="98"/>
        <v>10</v>
      </c>
      <c r="AT266">
        <f t="shared" si="99"/>
        <v>22.966101694915253</v>
      </c>
      <c r="AU266">
        <f t="shared" si="100"/>
        <v>10.692206076618231</v>
      </c>
      <c r="AV266">
        <f t="shared" si="101"/>
        <v>8.2549537648612947</v>
      </c>
      <c r="AW266">
        <f t="shared" si="102"/>
        <v>19.418758256274767</v>
      </c>
      <c r="AX266">
        <f t="shared" si="103"/>
        <v>20.298546895640687</v>
      </c>
      <c r="AY266">
        <f t="shared" si="104"/>
        <v>4089.3150684931502</v>
      </c>
      <c r="AZ266">
        <f t="shared" si="105"/>
        <v>993.12883435582819</v>
      </c>
      <c r="BA266">
        <f t="shared" si="106"/>
        <v>33.25153374233129</v>
      </c>
      <c r="BB266" t="s">
        <v>50</v>
      </c>
      <c r="BC266" t="s">
        <v>29</v>
      </c>
      <c r="BD266">
        <v>11.8</v>
      </c>
      <c r="BE266">
        <v>8.15</v>
      </c>
      <c r="BF266">
        <v>5.44</v>
      </c>
      <c r="BG266">
        <v>2.71</v>
      </c>
      <c r="BH266">
        <v>1.18</v>
      </c>
      <c r="BI266">
        <v>91217</v>
      </c>
      <c r="BJ266">
        <v>45634</v>
      </c>
      <c r="BK266">
        <v>6249</v>
      </c>
      <c r="BL266">
        <v>880</v>
      </c>
      <c r="BM266">
        <v>2467</v>
      </c>
      <c r="BN266">
        <v>8094</v>
      </c>
      <c r="BO266">
        <v>3259</v>
      </c>
      <c r="BP266">
        <v>2086</v>
      </c>
      <c r="BQ266">
        <v>7031</v>
      </c>
      <c r="BR266">
        <v>14926</v>
      </c>
      <c r="BS266" t="s">
        <v>21</v>
      </c>
      <c r="BT266" t="s">
        <v>395</v>
      </c>
      <c r="BU266">
        <v>0</v>
      </c>
      <c r="BV266">
        <v>1.6</v>
      </c>
      <c r="BW266">
        <v>0</v>
      </c>
      <c r="BX266">
        <v>2.8</v>
      </c>
      <c r="BY266">
        <v>13.4</v>
      </c>
      <c r="BZ266">
        <v>14.2</v>
      </c>
      <c r="CA266">
        <v>7</v>
      </c>
      <c r="CB266">
        <v>5</v>
      </c>
      <c r="CC266">
        <v>0</v>
      </c>
      <c r="CD266">
        <f t="shared" si="107"/>
        <v>5.6338028169014009E-2</v>
      </c>
      <c r="CE266">
        <v>0.7142857142857143</v>
      </c>
    </row>
    <row r="267" spans="1:83" x14ac:dyDescent="0.4">
      <c r="A267" t="s">
        <v>1214</v>
      </c>
      <c r="B267" t="s">
        <v>62</v>
      </c>
      <c r="C267" t="s">
        <v>82</v>
      </c>
      <c r="D267" t="s">
        <v>82</v>
      </c>
      <c r="E267" t="s">
        <v>69</v>
      </c>
      <c r="F267" t="s">
        <v>12</v>
      </c>
      <c r="G267">
        <v>40</v>
      </c>
      <c r="H267">
        <v>80</v>
      </c>
      <c r="I267">
        <v>69</v>
      </c>
      <c r="J267">
        <f t="shared" si="91"/>
        <v>-29</v>
      </c>
      <c r="K267">
        <f t="shared" si="92"/>
        <v>11</v>
      </c>
      <c r="L267">
        <v>-40</v>
      </c>
      <c r="M267">
        <v>68.77</v>
      </c>
      <c r="N267" t="s">
        <v>838</v>
      </c>
      <c r="O267" t="s">
        <v>839</v>
      </c>
      <c r="P267" t="s">
        <v>13</v>
      </c>
      <c r="Q267">
        <v>0</v>
      </c>
      <c r="R267" t="s">
        <v>13</v>
      </c>
      <c r="S267" t="s">
        <v>15</v>
      </c>
      <c r="T267" t="s">
        <v>14</v>
      </c>
      <c r="U267">
        <v>0</v>
      </c>
      <c r="V267" t="s">
        <v>14</v>
      </c>
      <c r="W267">
        <f>BC267/BB267</f>
        <v>1</v>
      </c>
      <c r="X267" t="s">
        <v>14</v>
      </c>
      <c r="Y267" t="s">
        <v>14</v>
      </c>
      <c r="Z267">
        <v>0</v>
      </c>
      <c r="AA267">
        <f t="shared" si="88"/>
        <v>2676.1942375686449</v>
      </c>
      <c r="AB267">
        <f t="shared" si="89"/>
        <v>48.269766042277894</v>
      </c>
      <c r="AC267">
        <f t="shared" si="90"/>
        <v>25.197472353870452</v>
      </c>
      <c r="AD267" t="s">
        <v>15</v>
      </c>
      <c r="AE267" t="s">
        <v>36</v>
      </c>
      <c r="AF267" t="s">
        <v>18</v>
      </c>
      <c r="AG267" t="s">
        <v>14</v>
      </c>
      <c r="AH267" t="s">
        <v>14</v>
      </c>
      <c r="AI267" t="s">
        <v>18</v>
      </c>
      <c r="AJ267" t="s">
        <v>14</v>
      </c>
      <c r="AK267" t="s">
        <v>14</v>
      </c>
      <c r="AL267" t="s">
        <v>14</v>
      </c>
      <c r="AM267">
        <f t="shared" si="87"/>
        <v>52.20135587937348</v>
      </c>
      <c r="AN267">
        <f t="shared" si="93"/>
        <v>5308.3145016753679</v>
      </c>
      <c r="AO267">
        <f t="shared" si="94"/>
        <v>3812.8964388685417</v>
      </c>
      <c r="AP267">
        <f t="shared" si="95"/>
        <v>460.85093119301797</v>
      </c>
      <c r="AQ267">
        <f t="shared" si="96"/>
        <v>874.77596820696635</v>
      </c>
      <c r="AR267">
        <f t="shared" si="97"/>
        <v>1034.567131613808</v>
      </c>
      <c r="AS267">
        <f t="shared" si="98"/>
        <v>42.672835326863762</v>
      </c>
      <c r="AT267">
        <f t="shared" si="99"/>
        <v>23.072293688407431</v>
      </c>
      <c r="AU267">
        <f t="shared" si="100"/>
        <v>4.8547010052611803</v>
      </c>
      <c r="AV267">
        <f t="shared" si="101"/>
        <v>16.479354565952651</v>
      </c>
      <c r="AW267">
        <f t="shared" si="102"/>
        <v>8.6816809939872233</v>
      </c>
      <c r="AX267">
        <f t="shared" si="103"/>
        <v>19.489559845922585</v>
      </c>
      <c r="AY267">
        <f t="shared" si="104"/>
        <v>217.05082527448556</v>
      </c>
      <c r="AZ267">
        <f t="shared" si="105"/>
        <v>257.70279747525905</v>
      </c>
      <c r="BA267">
        <f t="shared" si="106"/>
        <v>47.798644120626506</v>
      </c>
      <c r="BB267" t="s">
        <v>16</v>
      </c>
      <c r="BC267" t="s">
        <v>16</v>
      </c>
      <c r="BD267">
        <v>265.86</v>
      </c>
      <c r="BE267">
        <v>128.33000000000001</v>
      </c>
      <c r="BF267">
        <v>66.989999999999995</v>
      </c>
      <c r="BG267">
        <v>61.34</v>
      </c>
      <c r="BH267">
        <v>113.45</v>
      </c>
      <c r="BI267">
        <v>711493</v>
      </c>
      <c r="BJ267">
        <v>489309</v>
      </c>
      <c r="BK267">
        <v>112260</v>
      </c>
      <c r="BL267">
        <v>13571</v>
      </c>
      <c r="BM267">
        <v>2579</v>
      </c>
      <c r="BN267">
        <v>33071</v>
      </c>
      <c r="BO267">
        <v>9920</v>
      </c>
      <c r="BP267">
        <v>11678</v>
      </c>
      <c r="BQ267">
        <v>8828</v>
      </c>
      <c r="BR267">
        <v>29851</v>
      </c>
      <c r="BS267" t="s">
        <v>21</v>
      </c>
      <c r="BT267" t="s">
        <v>837</v>
      </c>
      <c r="BU267">
        <v>0</v>
      </c>
      <c r="BV267">
        <v>0</v>
      </c>
      <c r="BW267">
        <v>0</v>
      </c>
      <c r="BX267">
        <v>0</v>
      </c>
      <c r="BY267">
        <v>276.8</v>
      </c>
      <c r="BZ267">
        <v>277</v>
      </c>
      <c r="CA267">
        <v>1</v>
      </c>
      <c r="CB267">
        <v>1</v>
      </c>
      <c r="CC267">
        <v>0</v>
      </c>
      <c r="CD267">
        <f t="shared" si="107"/>
        <v>7.2202166064982976E-4</v>
      </c>
      <c r="CE267">
        <v>1</v>
      </c>
    </row>
    <row r="268" spans="1:83" x14ac:dyDescent="0.4">
      <c r="A268" t="s">
        <v>1215</v>
      </c>
      <c r="B268" t="s">
        <v>49</v>
      </c>
      <c r="C268" t="s">
        <v>82</v>
      </c>
      <c r="D268" t="s">
        <v>82</v>
      </c>
      <c r="E268" t="s">
        <v>69</v>
      </c>
      <c r="F268" t="s">
        <v>32</v>
      </c>
      <c r="G268">
        <v>50</v>
      </c>
      <c r="H268">
        <v>47</v>
      </c>
      <c r="I268">
        <v>10.5</v>
      </c>
      <c r="J268">
        <f t="shared" si="91"/>
        <v>39.5</v>
      </c>
      <c r="K268">
        <f t="shared" si="92"/>
        <v>36.5</v>
      </c>
      <c r="L268">
        <v>3</v>
      </c>
      <c r="M268">
        <v>10.7</v>
      </c>
      <c r="N268" t="s">
        <v>841</v>
      </c>
      <c r="O268" t="s">
        <v>842</v>
      </c>
      <c r="P268" t="s">
        <v>13</v>
      </c>
      <c r="Q268">
        <v>0.1</v>
      </c>
      <c r="R268" t="s">
        <v>26</v>
      </c>
      <c r="S268" t="s">
        <v>15</v>
      </c>
      <c r="T268" t="s">
        <v>14</v>
      </c>
      <c r="U268">
        <v>0</v>
      </c>
      <c r="V268" t="s">
        <v>14</v>
      </c>
      <c r="W268">
        <v>0</v>
      </c>
      <c r="X268" t="s">
        <v>14</v>
      </c>
      <c r="Y268" t="s">
        <v>14</v>
      </c>
      <c r="Z268">
        <v>0</v>
      </c>
      <c r="AA268">
        <f t="shared" si="88"/>
        <v>1675.5417956656347</v>
      </c>
      <c r="AB268">
        <f t="shared" si="89"/>
        <v>6.3889670700816206</v>
      </c>
      <c r="AC268">
        <f t="shared" si="90"/>
        <v>4.4188010132282578</v>
      </c>
      <c r="AD268" t="s">
        <v>36</v>
      </c>
      <c r="AE268" t="s">
        <v>15</v>
      </c>
      <c r="AF268" t="s">
        <v>18</v>
      </c>
      <c r="AG268" t="s">
        <v>14</v>
      </c>
      <c r="AH268" t="s">
        <v>14</v>
      </c>
      <c r="AI268" t="s">
        <v>14</v>
      </c>
      <c r="AJ268" t="s">
        <v>14</v>
      </c>
      <c r="AK268" t="s">
        <v>14</v>
      </c>
      <c r="AL268" t="s">
        <v>14</v>
      </c>
      <c r="AM268">
        <f t="shared" si="87"/>
        <v>69.162995594713649</v>
      </c>
      <c r="AN268">
        <f t="shared" si="93"/>
        <v>5122.0264317180618</v>
      </c>
      <c r="AO268">
        <f t="shared" si="94"/>
        <v>2806.1674008810573</v>
      </c>
      <c r="AP268">
        <f t="shared" si="95"/>
        <v>1803.964757709251</v>
      </c>
      <c r="AQ268">
        <f t="shared" si="96"/>
        <v>343.61233480176213</v>
      </c>
      <c r="AR268">
        <f t="shared" si="97"/>
        <v>511.89427312775331</v>
      </c>
      <c r="AS268">
        <f t="shared" si="98"/>
        <v>32.592175626231352</v>
      </c>
      <c r="AT268">
        <f t="shared" si="99"/>
        <v>1.9983112862369827</v>
      </c>
      <c r="AU268">
        <f t="shared" si="100"/>
        <v>4.9109830566784209</v>
      </c>
      <c r="AV268">
        <f t="shared" si="101"/>
        <v>6.7085232648146551</v>
      </c>
      <c r="AW268">
        <f t="shared" si="102"/>
        <v>35.219747140276944</v>
      </c>
      <c r="AX268">
        <f t="shared" si="103"/>
        <v>9.9939795304033723</v>
      </c>
      <c r="AY268">
        <f t="shared" si="104"/>
        <v>1440.1683704149129</v>
      </c>
      <c r="AZ268">
        <f t="shared" si="105"/>
        <v>251.54185022026431</v>
      </c>
      <c r="BA268">
        <f t="shared" si="106"/>
        <v>31.277533039647576</v>
      </c>
      <c r="BB268" t="s">
        <v>33</v>
      </c>
      <c r="BC268" t="s">
        <v>33</v>
      </c>
      <c r="BD268">
        <v>35.53</v>
      </c>
      <c r="BE268">
        <v>2.27</v>
      </c>
      <c r="BF268">
        <v>1.57</v>
      </c>
      <c r="BG268">
        <v>0.71</v>
      </c>
      <c r="BH268">
        <v>11.58</v>
      </c>
      <c r="BI268">
        <v>59532</v>
      </c>
      <c r="BJ268">
        <v>6370</v>
      </c>
      <c r="BK268">
        <v>780</v>
      </c>
      <c r="BL268">
        <v>3076</v>
      </c>
      <c r="BM268">
        <v>75</v>
      </c>
      <c r="BN268">
        <v>571</v>
      </c>
      <c r="BO268">
        <v>373</v>
      </c>
      <c r="BP268">
        <v>103</v>
      </c>
      <c r="BQ268">
        <v>279</v>
      </c>
      <c r="BR268">
        <v>47900</v>
      </c>
      <c r="BS268" t="s">
        <v>21</v>
      </c>
      <c r="BT268" t="s">
        <v>840</v>
      </c>
      <c r="BU268">
        <v>0</v>
      </c>
      <c r="BV268">
        <v>0</v>
      </c>
      <c r="BW268">
        <v>0</v>
      </c>
      <c r="BX268">
        <v>0</v>
      </c>
      <c r="BY268">
        <v>38.200000000000003</v>
      </c>
      <c r="BZ268">
        <v>38.200000000000003</v>
      </c>
      <c r="CA268">
        <v>0</v>
      </c>
      <c r="CB268">
        <v>0</v>
      </c>
      <c r="CC268">
        <v>0</v>
      </c>
      <c r="CD268">
        <f t="shared" si="107"/>
        <v>0</v>
      </c>
      <c r="CE268">
        <v>0</v>
      </c>
    </row>
    <row r="269" spans="1:83" x14ac:dyDescent="0.4">
      <c r="A269" t="s">
        <v>1216</v>
      </c>
      <c r="B269" t="s">
        <v>19</v>
      </c>
      <c r="C269" t="s">
        <v>19</v>
      </c>
      <c r="D269" t="s">
        <v>19</v>
      </c>
      <c r="E269" t="s">
        <v>69</v>
      </c>
      <c r="F269" t="s">
        <v>22</v>
      </c>
      <c r="G269">
        <v>40</v>
      </c>
      <c r="H269">
        <v>33</v>
      </c>
      <c r="I269">
        <v>39.5</v>
      </c>
      <c r="J269">
        <f t="shared" si="91"/>
        <v>0.5</v>
      </c>
      <c r="K269">
        <f t="shared" si="92"/>
        <v>-6.5</v>
      </c>
      <c r="L269">
        <v>7</v>
      </c>
      <c r="M269">
        <v>39.380000000000003</v>
      </c>
      <c r="N269" t="s">
        <v>843</v>
      </c>
      <c r="O269" t="s">
        <v>844</v>
      </c>
      <c r="P269" t="s">
        <v>13</v>
      </c>
      <c r="Q269">
        <v>0.3</v>
      </c>
      <c r="R269" t="s">
        <v>13</v>
      </c>
      <c r="S269" t="s">
        <v>15</v>
      </c>
      <c r="T269" t="s">
        <v>14</v>
      </c>
      <c r="U269">
        <v>2.5</v>
      </c>
      <c r="V269" t="s">
        <v>14</v>
      </c>
      <c r="W269">
        <f>BC269/BB269</f>
        <v>0.66666666666666663</v>
      </c>
      <c r="X269" t="s">
        <v>14</v>
      </c>
      <c r="Y269" t="s">
        <v>14</v>
      </c>
      <c r="Z269">
        <v>0</v>
      </c>
      <c r="AA269">
        <f t="shared" si="88"/>
        <v>2357.3511543134873</v>
      </c>
      <c r="AB269">
        <f t="shared" si="89"/>
        <v>54.921020656136079</v>
      </c>
      <c r="AC269">
        <f t="shared" si="90"/>
        <v>17.496962332928309</v>
      </c>
      <c r="AD269" t="s">
        <v>15</v>
      </c>
      <c r="AE269" t="s">
        <v>36</v>
      </c>
      <c r="AF269" t="s">
        <v>24</v>
      </c>
      <c r="AG269" t="s">
        <v>14</v>
      </c>
      <c r="AH269" t="s">
        <v>14</v>
      </c>
      <c r="AI269" t="s">
        <v>18</v>
      </c>
      <c r="AJ269" t="s">
        <v>14</v>
      </c>
      <c r="AK269" t="s">
        <v>14</v>
      </c>
      <c r="AL269" t="s">
        <v>14</v>
      </c>
      <c r="AM269">
        <f t="shared" si="87"/>
        <v>31.858407079646021</v>
      </c>
      <c r="AN269">
        <f t="shared" si="93"/>
        <v>3665.2654867256642</v>
      </c>
      <c r="AO269">
        <f t="shared" si="94"/>
        <v>1690.2654867256638</v>
      </c>
      <c r="AP269">
        <f t="shared" si="95"/>
        <v>710.39823008849567</v>
      </c>
      <c r="AQ269">
        <f t="shared" si="96"/>
        <v>1168.8053097345135</v>
      </c>
      <c r="AR269">
        <f t="shared" si="97"/>
        <v>1264.6017699115046</v>
      </c>
      <c r="AS269">
        <f t="shared" si="98"/>
        <v>35.844471445929521</v>
      </c>
      <c r="AT269">
        <f t="shared" si="99"/>
        <v>37.424058323207774</v>
      </c>
      <c r="AU269">
        <f t="shared" si="100"/>
        <v>8.504859057161827</v>
      </c>
      <c r="AV269">
        <f t="shared" si="101"/>
        <v>31.888694392466952</v>
      </c>
      <c r="AW269">
        <f t="shared" si="102"/>
        <v>19.381903784632101</v>
      </c>
      <c r="AX269">
        <f t="shared" si="103"/>
        <v>34.502323896903484</v>
      </c>
      <c r="AY269">
        <f t="shared" si="104"/>
        <v>759.02964959568715</v>
      </c>
      <c r="AZ269">
        <f t="shared" si="105"/>
        <v>311.72566371681421</v>
      </c>
      <c r="BA269">
        <f t="shared" si="106"/>
        <v>68.141592920353986</v>
      </c>
      <c r="BB269" t="s">
        <v>40</v>
      </c>
      <c r="BC269" t="s">
        <v>28</v>
      </c>
      <c r="BD269">
        <v>8.23</v>
      </c>
      <c r="BE269">
        <v>4.5199999999999996</v>
      </c>
      <c r="BF269">
        <v>1.44</v>
      </c>
      <c r="BG269">
        <v>3.08</v>
      </c>
      <c r="BH269">
        <v>2.95</v>
      </c>
      <c r="BI269">
        <v>19401</v>
      </c>
      <c r="BJ269">
        <v>7640</v>
      </c>
      <c r="BK269">
        <v>5283</v>
      </c>
      <c r="BL269">
        <v>738</v>
      </c>
      <c r="BM269">
        <v>75</v>
      </c>
      <c r="BN269">
        <v>1409</v>
      </c>
      <c r="BO269">
        <v>989</v>
      </c>
      <c r="BP269">
        <v>254</v>
      </c>
      <c r="BQ269">
        <v>179</v>
      </c>
      <c r="BR269">
        <v>2816</v>
      </c>
      <c r="BS269" t="s">
        <v>21</v>
      </c>
      <c r="BT269" t="s">
        <v>633</v>
      </c>
      <c r="BU269">
        <v>0</v>
      </c>
      <c r="BV269">
        <v>0</v>
      </c>
      <c r="BW269">
        <v>0</v>
      </c>
      <c r="BX269">
        <v>0</v>
      </c>
      <c r="BY269">
        <v>8.6</v>
      </c>
      <c r="BZ269">
        <v>8.6999999999999993</v>
      </c>
      <c r="CA269">
        <v>6</v>
      </c>
      <c r="CB269">
        <v>4</v>
      </c>
      <c r="CC269">
        <v>0</v>
      </c>
      <c r="CD269">
        <f t="shared" si="107"/>
        <v>1.1494252873563204E-2</v>
      </c>
      <c r="CE269">
        <v>0.66666666666666663</v>
      </c>
    </row>
    <row r="270" spans="1:83" x14ac:dyDescent="0.4">
      <c r="A270" t="s">
        <v>1217</v>
      </c>
      <c r="B270" t="s">
        <v>19</v>
      </c>
      <c r="C270" t="s">
        <v>19</v>
      </c>
      <c r="D270" t="s">
        <v>19</v>
      </c>
      <c r="E270" t="s">
        <v>69</v>
      </c>
      <c r="F270" t="s">
        <v>22</v>
      </c>
      <c r="G270">
        <v>30</v>
      </c>
      <c r="H270">
        <v>30</v>
      </c>
      <c r="I270">
        <v>34.5</v>
      </c>
      <c r="J270">
        <f t="shared" si="91"/>
        <v>-4.5</v>
      </c>
      <c r="K270">
        <f t="shared" si="92"/>
        <v>-4.5</v>
      </c>
      <c r="L270">
        <v>0</v>
      </c>
      <c r="M270">
        <v>34.71</v>
      </c>
      <c r="N270" t="s">
        <v>845</v>
      </c>
      <c r="O270" t="s">
        <v>846</v>
      </c>
      <c r="P270" t="s">
        <v>13</v>
      </c>
      <c r="Q270">
        <v>0</v>
      </c>
      <c r="R270" t="s">
        <v>13</v>
      </c>
      <c r="S270" t="s">
        <v>15</v>
      </c>
      <c r="T270" t="s">
        <v>14</v>
      </c>
      <c r="U270">
        <v>0</v>
      </c>
      <c r="V270" t="s">
        <v>14</v>
      </c>
      <c r="W270">
        <f>BC270/BB270</f>
        <v>0.5714285714285714</v>
      </c>
      <c r="X270" t="s">
        <v>14</v>
      </c>
      <c r="Y270" t="s">
        <v>14</v>
      </c>
      <c r="Z270">
        <v>0</v>
      </c>
      <c r="AA270">
        <f t="shared" si="88"/>
        <v>3611.9509703779372</v>
      </c>
      <c r="AB270">
        <f t="shared" si="89"/>
        <v>36.567926455566905</v>
      </c>
      <c r="AC270">
        <f t="shared" si="90"/>
        <v>32.584269662921351</v>
      </c>
      <c r="AD270" t="s">
        <v>15</v>
      </c>
      <c r="AE270" t="s">
        <v>15</v>
      </c>
      <c r="AF270" t="s">
        <v>18</v>
      </c>
      <c r="AG270" t="s">
        <v>14</v>
      </c>
      <c r="AH270" t="s">
        <v>14</v>
      </c>
      <c r="AI270" t="s">
        <v>18</v>
      </c>
      <c r="AJ270" t="s">
        <v>14</v>
      </c>
      <c r="AK270" t="s">
        <v>14</v>
      </c>
      <c r="AL270" t="s">
        <v>14</v>
      </c>
      <c r="AM270">
        <f t="shared" si="87"/>
        <v>89.10614525139664</v>
      </c>
      <c r="AN270">
        <f t="shared" si="93"/>
        <v>4351.117318435754</v>
      </c>
      <c r="AO270">
        <f t="shared" si="94"/>
        <v>3428.4916201117317</v>
      </c>
      <c r="AP270">
        <f t="shared" si="95"/>
        <v>381.28491620111731</v>
      </c>
      <c r="AQ270">
        <f t="shared" si="96"/>
        <v>119.27374301675978</v>
      </c>
      <c r="AR270">
        <f t="shared" si="97"/>
        <v>541.34078212290501</v>
      </c>
      <c r="AS270">
        <f t="shared" si="98"/>
        <v>1.8386108273748725</v>
      </c>
      <c r="AT270">
        <f t="shared" si="99"/>
        <v>3.9836567926455571</v>
      </c>
      <c r="AU270">
        <f t="shared" si="100"/>
        <v>3.4730692687937346</v>
      </c>
      <c r="AV270">
        <f t="shared" si="101"/>
        <v>2.7412210310072544</v>
      </c>
      <c r="AW270">
        <f t="shared" si="102"/>
        <v>8.7629196892854857</v>
      </c>
      <c r="AX270">
        <f t="shared" si="103"/>
        <v>12.441420042370162</v>
      </c>
      <c r="AY270">
        <f t="shared" si="104"/>
        <v>3183.8969404186801</v>
      </c>
      <c r="AZ270">
        <f t="shared" si="105"/>
        <v>151.11731843575419</v>
      </c>
      <c r="BA270">
        <f t="shared" si="106"/>
        <v>10.893854748603351</v>
      </c>
      <c r="BB270" t="s">
        <v>50</v>
      </c>
      <c r="BC270" t="s">
        <v>28</v>
      </c>
      <c r="BD270">
        <v>9.7899999999999991</v>
      </c>
      <c r="BE270">
        <v>3.58</v>
      </c>
      <c r="BF270">
        <v>3.19</v>
      </c>
      <c r="BG270">
        <v>0.39</v>
      </c>
      <c r="BH270">
        <v>0.18</v>
      </c>
      <c r="BI270">
        <v>35361</v>
      </c>
      <c r="BJ270">
        <v>12274</v>
      </c>
      <c r="BK270">
        <v>427</v>
      </c>
      <c r="BL270">
        <v>653</v>
      </c>
      <c r="BM270">
        <v>32</v>
      </c>
      <c r="BN270">
        <v>541</v>
      </c>
      <c r="BO270">
        <v>139</v>
      </c>
      <c r="BP270">
        <v>223</v>
      </c>
      <c r="BQ270">
        <v>1288</v>
      </c>
      <c r="BR270">
        <v>19772</v>
      </c>
      <c r="BS270" t="s">
        <v>21</v>
      </c>
      <c r="BT270" t="s">
        <v>210</v>
      </c>
      <c r="BU270">
        <v>0</v>
      </c>
      <c r="BV270">
        <v>0</v>
      </c>
      <c r="BW270">
        <v>0</v>
      </c>
      <c r="BX270">
        <v>0</v>
      </c>
      <c r="BY270">
        <v>10.8</v>
      </c>
      <c r="BZ270">
        <v>10.8</v>
      </c>
      <c r="CA270">
        <v>7</v>
      </c>
      <c r="CB270">
        <v>4</v>
      </c>
      <c r="CC270">
        <v>0</v>
      </c>
      <c r="CD270">
        <f t="shared" si="107"/>
        <v>0</v>
      </c>
      <c r="CE270">
        <v>0.5714285714285714</v>
      </c>
    </row>
    <row r="271" spans="1:83" x14ac:dyDescent="0.4">
      <c r="A271" t="s">
        <v>1218</v>
      </c>
      <c r="B271" t="s">
        <v>53</v>
      </c>
      <c r="C271" t="s">
        <v>82</v>
      </c>
      <c r="D271" t="s">
        <v>82</v>
      </c>
      <c r="E271" t="s">
        <v>69</v>
      </c>
      <c r="F271" t="s">
        <v>12</v>
      </c>
      <c r="G271">
        <v>40</v>
      </c>
      <c r="H271">
        <v>31</v>
      </c>
      <c r="I271">
        <v>13</v>
      </c>
      <c r="J271">
        <f t="shared" si="91"/>
        <v>27</v>
      </c>
      <c r="K271">
        <f t="shared" si="92"/>
        <v>18</v>
      </c>
      <c r="L271">
        <v>9</v>
      </c>
      <c r="M271">
        <v>13.01</v>
      </c>
      <c r="N271" t="s">
        <v>847</v>
      </c>
      <c r="O271" t="s">
        <v>848</v>
      </c>
      <c r="P271" t="s">
        <v>13</v>
      </c>
      <c r="Q271">
        <v>0.3</v>
      </c>
      <c r="R271" t="s">
        <v>13</v>
      </c>
      <c r="S271" t="s">
        <v>35</v>
      </c>
      <c r="T271" t="s">
        <v>14</v>
      </c>
      <c r="U271">
        <v>2.5</v>
      </c>
      <c r="V271" t="s">
        <v>14</v>
      </c>
      <c r="W271">
        <f>BC271/BB271</f>
        <v>1</v>
      </c>
      <c r="X271" t="s">
        <v>17</v>
      </c>
      <c r="Y271" t="s">
        <v>14</v>
      </c>
      <c r="Z271">
        <v>0</v>
      </c>
      <c r="AA271">
        <f t="shared" si="88"/>
        <v>1565.8853836732972</v>
      </c>
      <c r="AB271">
        <f t="shared" si="89"/>
        <v>31.660965412390727</v>
      </c>
      <c r="AC271">
        <f t="shared" si="90"/>
        <v>4.0373326576291229</v>
      </c>
      <c r="AD271" t="s">
        <v>15</v>
      </c>
      <c r="AE271" t="s">
        <v>15</v>
      </c>
      <c r="AF271" t="s">
        <v>24</v>
      </c>
      <c r="AG271" t="s">
        <v>14</v>
      </c>
      <c r="AH271" t="s">
        <v>14</v>
      </c>
      <c r="AI271" t="s">
        <v>18</v>
      </c>
      <c r="AJ271" t="s">
        <v>14</v>
      </c>
      <c r="AK271" t="s">
        <v>14</v>
      </c>
      <c r="AL271" t="s">
        <v>17</v>
      </c>
      <c r="AM271">
        <f t="shared" si="87"/>
        <v>12.751767373616113</v>
      </c>
      <c r="AN271">
        <f t="shared" si="93"/>
        <v>2455.422168867547</v>
      </c>
      <c r="AO271">
        <f t="shared" si="94"/>
        <v>643.60410830999069</v>
      </c>
      <c r="AP271">
        <f t="shared" si="95"/>
        <v>157.15619581165799</v>
      </c>
      <c r="AQ271">
        <f t="shared" si="96"/>
        <v>1551.4205682272909</v>
      </c>
      <c r="AR271">
        <f t="shared" si="97"/>
        <v>1654.6618647458984</v>
      </c>
      <c r="AS271">
        <f t="shared" si="98"/>
        <v>0.15625659867393049</v>
      </c>
      <c r="AT271">
        <f t="shared" si="99"/>
        <v>27.623632754761605</v>
      </c>
      <c r="AU271">
        <f t="shared" si="100"/>
        <v>4.5740236741035289</v>
      </c>
      <c r="AV271">
        <f t="shared" si="101"/>
        <v>63.183455289190199</v>
      </c>
      <c r="AW271">
        <f t="shared" si="102"/>
        <v>6.4003737444522306</v>
      </c>
      <c r="AX271">
        <f t="shared" si="103"/>
        <v>67.388080376786561</v>
      </c>
      <c r="AY271">
        <f t="shared" si="104"/>
        <v>1152.7994067482389</v>
      </c>
      <c r="AZ271">
        <f t="shared" si="105"/>
        <v>112.31159130318794</v>
      </c>
      <c r="BA271">
        <f t="shared" si="106"/>
        <v>87.248232626383881</v>
      </c>
      <c r="BB271" t="s">
        <v>16</v>
      </c>
      <c r="BC271" t="s">
        <v>16</v>
      </c>
      <c r="BD271">
        <v>236.79</v>
      </c>
      <c r="BE271">
        <v>74.97</v>
      </c>
      <c r="BF271">
        <v>9.56</v>
      </c>
      <c r="BG271">
        <v>65.41</v>
      </c>
      <c r="BH271">
        <v>0.37</v>
      </c>
      <c r="BI271">
        <v>370786</v>
      </c>
      <c r="BJ271">
        <v>48251</v>
      </c>
      <c r="BK271">
        <v>116310</v>
      </c>
      <c r="BL271">
        <v>1696</v>
      </c>
      <c r="BM271">
        <v>708</v>
      </c>
      <c r="BN271">
        <v>8420</v>
      </c>
      <c r="BO271">
        <v>958</v>
      </c>
      <c r="BP271">
        <v>6442</v>
      </c>
      <c r="BQ271">
        <v>1298</v>
      </c>
      <c r="BR271">
        <v>186546</v>
      </c>
      <c r="BS271" t="s">
        <v>21</v>
      </c>
      <c r="BT271" t="s">
        <v>670</v>
      </c>
      <c r="BU271">
        <v>0</v>
      </c>
      <c r="BV271">
        <v>1</v>
      </c>
      <c r="BW271">
        <v>0.1</v>
      </c>
      <c r="BX271">
        <v>0.2</v>
      </c>
      <c r="BY271">
        <v>299.7</v>
      </c>
      <c r="BZ271">
        <v>304.8</v>
      </c>
      <c r="CA271">
        <v>1</v>
      </c>
      <c r="CB271">
        <v>1</v>
      </c>
      <c r="CC271">
        <v>0</v>
      </c>
      <c r="CD271">
        <f t="shared" si="107"/>
        <v>1.673228346456701E-2</v>
      </c>
      <c r="CE271">
        <v>1</v>
      </c>
    </row>
    <row r="272" spans="1:83" x14ac:dyDescent="0.4">
      <c r="A272" t="s">
        <v>1219</v>
      </c>
      <c r="B272" t="s">
        <v>49</v>
      </c>
      <c r="C272" t="s">
        <v>82</v>
      </c>
      <c r="D272" t="s">
        <v>82</v>
      </c>
      <c r="E272" t="s">
        <v>69</v>
      </c>
      <c r="F272" t="s">
        <v>22</v>
      </c>
      <c r="G272">
        <v>30</v>
      </c>
      <c r="H272">
        <v>78</v>
      </c>
      <c r="I272">
        <v>78</v>
      </c>
      <c r="J272">
        <f t="shared" si="91"/>
        <v>-48</v>
      </c>
      <c r="K272">
        <f t="shared" si="92"/>
        <v>0</v>
      </c>
      <c r="L272">
        <v>-48</v>
      </c>
      <c r="M272">
        <v>77.989999999999995</v>
      </c>
      <c r="N272" t="s">
        <v>850</v>
      </c>
      <c r="O272" t="s">
        <v>851</v>
      </c>
      <c r="P272" t="s">
        <v>13</v>
      </c>
      <c r="Q272">
        <v>0.8</v>
      </c>
      <c r="R272" t="s">
        <v>26</v>
      </c>
      <c r="S272" t="s">
        <v>15</v>
      </c>
      <c r="T272" t="s">
        <v>14</v>
      </c>
      <c r="U272">
        <v>30</v>
      </c>
      <c r="V272" t="s">
        <v>17</v>
      </c>
      <c r="W272" t="s">
        <v>52</v>
      </c>
      <c r="X272" t="s">
        <v>14</v>
      </c>
      <c r="Y272" t="s">
        <v>17</v>
      </c>
      <c r="Z272">
        <v>10</v>
      </c>
      <c r="AA272">
        <f t="shared" si="88"/>
        <v>3209.1819699499165</v>
      </c>
      <c r="AB272">
        <f t="shared" si="89"/>
        <v>53.923205342237061</v>
      </c>
      <c r="AC272">
        <f t="shared" si="90"/>
        <v>36.060100166944906</v>
      </c>
      <c r="AD272" t="s">
        <v>15</v>
      </c>
      <c r="AE272" t="s">
        <v>36</v>
      </c>
      <c r="AF272" t="s">
        <v>18</v>
      </c>
      <c r="AG272" t="s">
        <v>14</v>
      </c>
      <c r="AH272" t="s">
        <v>14</v>
      </c>
      <c r="AI272" t="s">
        <v>14</v>
      </c>
      <c r="AJ272" t="s">
        <v>14</v>
      </c>
      <c r="AK272" t="s">
        <v>14</v>
      </c>
      <c r="AL272" t="s">
        <v>17</v>
      </c>
      <c r="AM272">
        <f t="shared" si="87"/>
        <v>66.873065015479881</v>
      </c>
      <c r="AN272">
        <f t="shared" si="93"/>
        <v>5717.8018575851393</v>
      </c>
      <c r="AO272">
        <f t="shared" si="94"/>
        <v>4641.6408668730646</v>
      </c>
      <c r="AP272">
        <f t="shared" si="95"/>
        <v>229.56656346749227</v>
      </c>
      <c r="AQ272">
        <f t="shared" si="96"/>
        <v>493.65325077399382</v>
      </c>
      <c r="AR272">
        <f t="shared" si="97"/>
        <v>846.59442724458199</v>
      </c>
      <c r="AS272">
        <f t="shared" si="98"/>
        <v>39.899833055091818</v>
      </c>
      <c r="AT272">
        <f t="shared" si="99"/>
        <v>17.863105175292151</v>
      </c>
      <c r="AU272">
        <f t="shared" si="100"/>
        <v>2.0900452121179307</v>
      </c>
      <c r="AV272">
        <f t="shared" si="101"/>
        <v>8.633619406015649</v>
      </c>
      <c r="AW272">
        <f t="shared" si="102"/>
        <v>4.014944364729133</v>
      </c>
      <c r="AX272">
        <f t="shared" si="103"/>
        <v>14.80629179413596</v>
      </c>
      <c r="AY272">
        <f t="shared" si="104"/>
        <v>271.37681159420288</v>
      </c>
      <c r="AZ272">
        <f t="shared" si="105"/>
        <v>119.50464396284829</v>
      </c>
      <c r="BA272">
        <f t="shared" si="106"/>
        <v>33.126934984520126</v>
      </c>
      <c r="BB272" t="s">
        <v>52</v>
      </c>
      <c r="BC272" t="s">
        <v>52</v>
      </c>
      <c r="BD272">
        <v>11.98</v>
      </c>
      <c r="BE272">
        <v>6.46</v>
      </c>
      <c r="BF272">
        <v>4.32</v>
      </c>
      <c r="BG272">
        <v>2.14</v>
      </c>
      <c r="BH272">
        <v>4.78</v>
      </c>
      <c r="BI272">
        <v>38446</v>
      </c>
      <c r="BJ272">
        <v>29985</v>
      </c>
      <c r="BK272">
        <v>3189</v>
      </c>
      <c r="BL272">
        <v>495</v>
      </c>
      <c r="BM272">
        <v>70</v>
      </c>
      <c r="BN272">
        <v>772</v>
      </c>
      <c r="BO272">
        <v>146</v>
      </c>
      <c r="BP272">
        <v>828</v>
      </c>
      <c r="BQ272">
        <v>1452</v>
      </c>
      <c r="BR272">
        <v>1498</v>
      </c>
      <c r="BS272" t="s">
        <v>21</v>
      </c>
      <c r="BT272" t="s">
        <v>849</v>
      </c>
      <c r="BU272">
        <v>0</v>
      </c>
      <c r="BV272">
        <v>0.1</v>
      </c>
      <c r="BW272">
        <v>0</v>
      </c>
      <c r="BX272">
        <v>1</v>
      </c>
      <c r="BY272">
        <v>15.1</v>
      </c>
      <c r="BZ272">
        <v>15.4</v>
      </c>
      <c r="CA272">
        <v>10</v>
      </c>
      <c r="CB272">
        <v>10</v>
      </c>
      <c r="CC272">
        <v>0</v>
      </c>
      <c r="CD272">
        <f t="shared" si="107"/>
        <v>1.9480519480519543E-2</v>
      </c>
      <c r="CE272">
        <v>1</v>
      </c>
    </row>
    <row r="273" spans="1:83" x14ac:dyDescent="0.4">
      <c r="A273" t="s">
        <v>1220</v>
      </c>
      <c r="B273" t="s">
        <v>19</v>
      </c>
      <c r="C273" t="s">
        <v>19</v>
      </c>
      <c r="D273" t="s">
        <v>19</v>
      </c>
      <c r="E273" t="s">
        <v>69</v>
      </c>
      <c r="F273" t="s">
        <v>22</v>
      </c>
      <c r="G273">
        <v>80</v>
      </c>
      <c r="H273">
        <v>85</v>
      </c>
      <c r="I273">
        <v>52.5</v>
      </c>
      <c r="J273">
        <f t="shared" si="91"/>
        <v>27.5</v>
      </c>
      <c r="K273">
        <f t="shared" si="92"/>
        <v>32.5</v>
      </c>
      <c r="L273">
        <v>-5</v>
      </c>
      <c r="M273">
        <v>52.47</v>
      </c>
      <c r="N273" t="s">
        <v>435</v>
      </c>
      <c r="O273" t="s">
        <v>853</v>
      </c>
      <c r="P273" t="s">
        <v>13</v>
      </c>
      <c r="Q273">
        <v>0.4</v>
      </c>
      <c r="R273" t="s">
        <v>13</v>
      </c>
      <c r="S273" t="s">
        <v>15</v>
      </c>
      <c r="T273" t="s">
        <v>14</v>
      </c>
      <c r="U273">
        <v>17.5</v>
      </c>
      <c r="V273" t="s">
        <v>17</v>
      </c>
      <c r="W273">
        <f t="shared" ref="W273:W278" si="108">BC273/BB273</f>
        <v>0.625</v>
      </c>
      <c r="X273" t="s">
        <v>14</v>
      </c>
      <c r="Y273" t="s">
        <v>14</v>
      </c>
      <c r="Z273">
        <v>5</v>
      </c>
      <c r="AA273">
        <f t="shared" si="88"/>
        <v>3655.2880481513325</v>
      </c>
      <c r="AB273">
        <f t="shared" si="89"/>
        <v>25.451418744625965</v>
      </c>
      <c r="AC273">
        <f t="shared" si="90"/>
        <v>20.292347377472055</v>
      </c>
      <c r="AD273" t="s">
        <v>27</v>
      </c>
      <c r="AE273" t="s">
        <v>37</v>
      </c>
      <c r="AF273" t="s">
        <v>18</v>
      </c>
      <c r="AG273" t="s">
        <v>14</v>
      </c>
      <c r="AH273" t="s">
        <v>14</v>
      </c>
      <c r="AI273" t="s">
        <v>18</v>
      </c>
      <c r="AJ273" t="s">
        <v>14</v>
      </c>
      <c r="AK273" t="s">
        <v>14</v>
      </c>
      <c r="AL273" t="s">
        <v>14</v>
      </c>
      <c r="AM273">
        <f t="shared" si="87"/>
        <v>79.729729729729726</v>
      </c>
      <c r="AN273">
        <f t="shared" si="93"/>
        <v>8462.8378378378384</v>
      </c>
      <c r="AO273">
        <f t="shared" si="94"/>
        <v>7535.8108108108108</v>
      </c>
      <c r="AP273">
        <f t="shared" si="95"/>
        <v>428.7162162162162</v>
      </c>
      <c r="AQ273">
        <f t="shared" si="96"/>
        <v>283.10810810810813</v>
      </c>
      <c r="AR273">
        <f t="shared" si="97"/>
        <v>498.31081081081084</v>
      </c>
      <c r="AS273">
        <f t="shared" si="98"/>
        <v>26.655202063628543</v>
      </c>
      <c r="AT273">
        <f t="shared" si="99"/>
        <v>5.0730868443680137</v>
      </c>
      <c r="AU273">
        <f t="shared" si="100"/>
        <v>3.0179640718562872</v>
      </c>
      <c r="AV273">
        <f t="shared" si="101"/>
        <v>3.345309381237525</v>
      </c>
      <c r="AW273">
        <f t="shared" si="102"/>
        <v>5.0658682634730541</v>
      </c>
      <c r="AX273">
        <f t="shared" si="103"/>
        <v>5.8882235528942113</v>
      </c>
      <c r="AY273">
        <f t="shared" si="104"/>
        <v>2013.494809688581</v>
      </c>
      <c r="AZ273">
        <f t="shared" si="105"/>
        <v>255.40540540540542</v>
      </c>
      <c r="BA273">
        <f t="shared" si="106"/>
        <v>19.932432432432432</v>
      </c>
      <c r="BB273" t="s">
        <v>48</v>
      </c>
      <c r="BC273" t="s">
        <v>29</v>
      </c>
      <c r="BD273">
        <v>11.63</v>
      </c>
      <c r="BE273">
        <v>2.96</v>
      </c>
      <c r="BF273">
        <v>2.36</v>
      </c>
      <c r="BG273">
        <v>0.59</v>
      </c>
      <c r="BH273">
        <v>3.1</v>
      </c>
      <c r="BI273">
        <v>42511</v>
      </c>
      <c r="BJ273">
        <v>22306</v>
      </c>
      <c r="BK273">
        <v>838</v>
      </c>
      <c r="BL273">
        <v>199</v>
      </c>
      <c r="BM273">
        <v>19</v>
      </c>
      <c r="BN273">
        <v>756</v>
      </c>
      <c r="BO273">
        <v>295</v>
      </c>
      <c r="BP273">
        <v>171</v>
      </c>
      <c r="BQ273">
        <v>466</v>
      </c>
      <c r="BR273">
        <v>17457</v>
      </c>
      <c r="BS273" t="s">
        <v>21</v>
      </c>
      <c r="BT273" t="s">
        <v>852</v>
      </c>
      <c r="BU273">
        <v>0</v>
      </c>
      <c r="BV273">
        <v>0.2</v>
      </c>
      <c r="BW273">
        <v>0</v>
      </c>
      <c r="BX273">
        <v>0.5</v>
      </c>
      <c r="BY273">
        <v>12.8</v>
      </c>
      <c r="BZ273">
        <v>13</v>
      </c>
      <c r="CA273">
        <v>8</v>
      </c>
      <c r="CB273">
        <v>5</v>
      </c>
      <c r="CC273">
        <v>0</v>
      </c>
      <c r="CD273">
        <f t="shared" si="107"/>
        <v>1.538461538461533E-2</v>
      </c>
      <c r="CE273">
        <v>0.625</v>
      </c>
    </row>
    <row r="274" spans="1:83" x14ac:dyDescent="0.4">
      <c r="A274" t="s">
        <v>1221</v>
      </c>
      <c r="B274" t="s">
        <v>70</v>
      </c>
      <c r="C274" t="s">
        <v>82</v>
      </c>
      <c r="D274" t="s">
        <v>82</v>
      </c>
      <c r="E274" t="s">
        <v>69</v>
      </c>
      <c r="F274" t="s">
        <v>12</v>
      </c>
      <c r="G274">
        <v>70</v>
      </c>
      <c r="H274">
        <v>79</v>
      </c>
      <c r="I274">
        <v>64.5</v>
      </c>
      <c r="J274">
        <f t="shared" si="91"/>
        <v>5.5</v>
      </c>
      <c r="K274">
        <f t="shared" si="92"/>
        <v>14.5</v>
      </c>
      <c r="L274">
        <v>-9</v>
      </c>
      <c r="M274">
        <v>64.459999999999994</v>
      </c>
      <c r="N274" t="s">
        <v>854</v>
      </c>
      <c r="O274" t="s">
        <v>855</v>
      </c>
      <c r="P274" t="s">
        <v>26</v>
      </c>
      <c r="Q274">
        <v>14.5</v>
      </c>
      <c r="R274" t="s">
        <v>13</v>
      </c>
      <c r="S274" t="s">
        <v>35</v>
      </c>
      <c r="T274" t="s">
        <v>14</v>
      </c>
      <c r="U274">
        <v>0</v>
      </c>
      <c r="V274" t="s">
        <v>14</v>
      </c>
      <c r="W274">
        <f t="shared" si="108"/>
        <v>1</v>
      </c>
      <c r="X274" t="s">
        <v>14</v>
      </c>
      <c r="Y274" t="s">
        <v>14</v>
      </c>
      <c r="Z274">
        <v>0</v>
      </c>
      <c r="AA274">
        <f t="shared" si="88"/>
        <v>2296.6171718411256</v>
      </c>
      <c r="AB274">
        <f t="shared" si="89"/>
        <v>47.130527263058859</v>
      </c>
      <c r="AC274">
        <f t="shared" si="90"/>
        <v>25.021475027610752</v>
      </c>
      <c r="AD274" t="s">
        <v>37</v>
      </c>
      <c r="AE274" t="s">
        <v>27</v>
      </c>
      <c r="AF274" t="s">
        <v>18</v>
      </c>
      <c r="AG274" t="s">
        <v>14</v>
      </c>
      <c r="AH274" t="s">
        <v>14</v>
      </c>
      <c r="AI274" t="s">
        <v>14</v>
      </c>
      <c r="AJ274" t="s">
        <v>14</v>
      </c>
      <c r="AK274" t="s">
        <v>14</v>
      </c>
      <c r="AL274" t="s">
        <v>14</v>
      </c>
      <c r="AM274">
        <f t="shared" si="87"/>
        <v>53.089741364346466</v>
      </c>
      <c r="AN274">
        <f t="shared" si="93"/>
        <v>4102.2912688769311</v>
      </c>
      <c r="AO274">
        <f t="shared" si="94"/>
        <v>3140.8696406873805</v>
      </c>
      <c r="AP274">
        <f t="shared" si="95"/>
        <v>153.48897760805417</v>
      </c>
      <c r="AQ274">
        <f t="shared" si="96"/>
        <v>584.67279986113522</v>
      </c>
      <c r="AR274">
        <f t="shared" si="97"/>
        <v>807.93265058149632</v>
      </c>
      <c r="AS274">
        <f t="shared" si="98"/>
        <v>9.3508405939379067</v>
      </c>
      <c r="AT274">
        <f t="shared" si="99"/>
        <v>22.104961753998445</v>
      </c>
      <c r="AU274">
        <f t="shared" si="100"/>
        <v>2.4452784841727562</v>
      </c>
      <c r="AV274">
        <f t="shared" si="101"/>
        <v>14.252347323480006</v>
      </c>
      <c r="AW274">
        <f t="shared" si="102"/>
        <v>3.7415426537978194</v>
      </c>
      <c r="AX274">
        <f t="shared" si="103"/>
        <v>19.694668116598191</v>
      </c>
      <c r="AY274">
        <f t="shared" si="104"/>
        <v>681.88007736943905</v>
      </c>
      <c r="AZ274">
        <f t="shared" si="105"/>
        <v>100.31244575594515</v>
      </c>
      <c r="BA274">
        <f t="shared" si="106"/>
        <v>46.901579586877276</v>
      </c>
      <c r="BB274" t="s">
        <v>16</v>
      </c>
      <c r="BC274" t="s">
        <v>16</v>
      </c>
      <c r="BD274">
        <v>244.47</v>
      </c>
      <c r="BE274">
        <v>115.22</v>
      </c>
      <c r="BF274">
        <v>61.17</v>
      </c>
      <c r="BG274">
        <v>54.04</v>
      </c>
      <c r="BH274">
        <v>22.86</v>
      </c>
      <c r="BI274">
        <v>561454</v>
      </c>
      <c r="BJ274">
        <v>361891</v>
      </c>
      <c r="BK274">
        <v>67366</v>
      </c>
      <c r="BL274">
        <v>3713</v>
      </c>
      <c r="BM274">
        <v>526</v>
      </c>
      <c r="BN274">
        <v>11558</v>
      </c>
      <c r="BO274">
        <v>1888</v>
      </c>
      <c r="BP274">
        <v>10556</v>
      </c>
      <c r="BQ274">
        <v>15168</v>
      </c>
      <c r="BR274">
        <v>88133</v>
      </c>
      <c r="BS274" t="s">
        <v>21</v>
      </c>
      <c r="BT274" t="s">
        <v>374</v>
      </c>
      <c r="BU274">
        <v>0.7</v>
      </c>
      <c r="BV274">
        <v>6.3</v>
      </c>
      <c r="BW274">
        <v>0</v>
      </c>
      <c r="BX274">
        <v>0</v>
      </c>
      <c r="BY274">
        <v>251.1</v>
      </c>
      <c r="BZ274">
        <v>320</v>
      </c>
      <c r="CA274">
        <v>1</v>
      </c>
      <c r="CB274">
        <v>1</v>
      </c>
      <c r="CC274">
        <v>0</v>
      </c>
      <c r="CD274">
        <f t="shared" si="107"/>
        <v>0.21531250000000002</v>
      </c>
      <c r="CE274">
        <v>1</v>
      </c>
    </row>
    <row r="275" spans="1:83" x14ac:dyDescent="0.4">
      <c r="A275" t="s">
        <v>1222</v>
      </c>
      <c r="B275" t="s">
        <v>19</v>
      </c>
      <c r="C275" t="s">
        <v>19</v>
      </c>
      <c r="D275" t="s">
        <v>19</v>
      </c>
      <c r="E275" t="s">
        <v>69</v>
      </c>
      <c r="F275" t="s">
        <v>22</v>
      </c>
      <c r="G275">
        <v>60</v>
      </c>
      <c r="H275">
        <v>40</v>
      </c>
      <c r="I275">
        <v>53</v>
      </c>
      <c r="J275">
        <f t="shared" si="91"/>
        <v>7</v>
      </c>
      <c r="K275">
        <f t="shared" si="92"/>
        <v>-13</v>
      </c>
      <c r="L275">
        <v>20</v>
      </c>
      <c r="M275">
        <v>53.2</v>
      </c>
      <c r="N275" t="s">
        <v>856</v>
      </c>
      <c r="O275" t="s">
        <v>857</v>
      </c>
      <c r="P275" t="s">
        <v>13</v>
      </c>
      <c r="Q275">
        <v>0.4</v>
      </c>
      <c r="R275" t="s">
        <v>13</v>
      </c>
      <c r="S275" t="s">
        <v>15</v>
      </c>
      <c r="T275" t="s">
        <v>14</v>
      </c>
      <c r="U275">
        <v>5</v>
      </c>
      <c r="V275" t="s">
        <v>14</v>
      </c>
      <c r="W275">
        <f t="shared" si="108"/>
        <v>1</v>
      </c>
      <c r="X275" t="s">
        <v>14</v>
      </c>
      <c r="Y275" t="s">
        <v>14</v>
      </c>
      <c r="Z275">
        <v>0</v>
      </c>
      <c r="AA275">
        <f t="shared" si="88"/>
        <v>4389.3658536585363</v>
      </c>
      <c r="AB275">
        <f t="shared" si="89"/>
        <v>92.780487804878049</v>
      </c>
      <c r="AC275">
        <f t="shared" si="90"/>
        <v>44.390243902439025</v>
      </c>
      <c r="AD275" t="s">
        <v>15</v>
      </c>
      <c r="AE275" t="s">
        <v>27</v>
      </c>
      <c r="AF275" t="s">
        <v>24</v>
      </c>
      <c r="AG275" t="s">
        <v>14</v>
      </c>
      <c r="AH275" t="s">
        <v>14</v>
      </c>
      <c r="AI275" t="s">
        <v>41</v>
      </c>
      <c r="AJ275" t="s">
        <v>14</v>
      </c>
      <c r="AK275" t="s">
        <v>14</v>
      </c>
      <c r="AL275" t="s">
        <v>17</v>
      </c>
      <c r="AM275">
        <f t="shared" si="87"/>
        <v>47.84437434279706</v>
      </c>
      <c r="AN275">
        <f t="shared" si="93"/>
        <v>4515.7728706624603</v>
      </c>
      <c r="AO275">
        <f t="shared" si="94"/>
        <v>2516.9295478443746</v>
      </c>
      <c r="AP275">
        <f t="shared" si="95"/>
        <v>984.5425867507887</v>
      </c>
      <c r="AQ275">
        <f t="shared" si="96"/>
        <v>750.78864353312304</v>
      </c>
      <c r="AR275">
        <f t="shared" si="97"/>
        <v>1014.3007360672976</v>
      </c>
      <c r="AS275">
        <f t="shared" si="98"/>
        <v>3.2195121951219514</v>
      </c>
      <c r="AT275">
        <f t="shared" si="99"/>
        <v>48.390243902439025</v>
      </c>
      <c r="AU275">
        <f t="shared" si="100"/>
        <v>9.7706368611014085</v>
      </c>
      <c r="AV275">
        <f t="shared" si="101"/>
        <v>16.625916870415647</v>
      </c>
      <c r="AW275">
        <f t="shared" si="102"/>
        <v>21.802305274187916</v>
      </c>
      <c r="AX275">
        <f t="shared" si="103"/>
        <v>22.46128769356153</v>
      </c>
      <c r="AY275">
        <f t="shared" si="104"/>
        <v>2371.6216216216208</v>
      </c>
      <c r="AZ275">
        <f t="shared" si="105"/>
        <v>441.21976866456362</v>
      </c>
      <c r="BA275">
        <f t="shared" si="106"/>
        <v>52.155625657202947</v>
      </c>
      <c r="BB275" t="s">
        <v>29</v>
      </c>
      <c r="BC275" t="s">
        <v>29</v>
      </c>
      <c r="BD275">
        <v>10.25</v>
      </c>
      <c r="BE275">
        <v>9.51</v>
      </c>
      <c r="BF275">
        <v>4.55</v>
      </c>
      <c r="BG275">
        <v>4.96</v>
      </c>
      <c r="BH275">
        <v>0.33</v>
      </c>
      <c r="BI275">
        <v>44991</v>
      </c>
      <c r="BJ275">
        <v>23936</v>
      </c>
      <c r="BK275">
        <v>7140</v>
      </c>
      <c r="BL275">
        <v>1506</v>
      </c>
      <c r="BM275">
        <v>230</v>
      </c>
      <c r="BN275">
        <v>4196</v>
      </c>
      <c r="BO275">
        <v>3431</v>
      </c>
      <c r="BP275">
        <v>1113</v>
      </c>
      <c r="BQ275">
        <v>1393</v>
      </c>
      <c r="BR275">
        <v>1755</v>
      </c>
      <c r="BS275" t="s">
        <v>21</v>
      </c>
      <c r="BT275" t="s">
        <v>802</v>
      </c>
      <c r="BU275">
        <v>0</v>
      </c>
      <c r="BV275">
        <v>0</v>
      </c>
      <c r="BW275">
        <v>0</v>
      </c>
      <c r="BX275">
        <v>0.1</v>
      </c>
      <c r="BY275">
        <v>11.4</v>
      </c>
      <c r="BZ275">
        <v>11.5</v>
      </c>
      <c r="CA275">
        <v>5</v>
      </c>
      <c r="CB275">
        <v>5</v>
      </c>
      <c r="CC275">
        <v>0</v>
      </c>
      <c r="CD275">
        <f t="shared" si="107"/>
        <v>8.6956521739129933E-3</v>
      </c>
      <c r="CE275">
        <v>1</v>
      </c>
    </row>
    <row r="276" spans="1:83" x14ac:dyDescent="0.4">
      <c r="A276" t="s">
        <v>1223</v>
      </c>
      <c r="B276" t="s">
        <v>63</v>
      </c>
      <c r="C276" t="s">
        <v>82</v>
      </c>
      <c r="D276" t="s">
        <v>82</v>
      </c>
      <c r="E276" t="s">
        <v>69</v>
      </c>
      <c r="F276" t="s">
        <v>22</v>
      </c>
      <c r="G276">
        <v>20</v>
      </c>
      <c r="H276">
        <v>43</v>
      </c>
      <c r="I276">
        <v>27.5</v>
      </c>
      <c r="J276">
        <f t="shared" si="91"/>
        <v>-7.5</v>
      </c>
      <c r="K276">
        <f t="shared" si="92"/>
        <v>15.5</v>
      </c>
      <c r="L276">
        <v>-23</v>
      </c>
      <c r="M276">
        <v>27.68</v>
      </c>
      <c r="N276" t="s">
        <v>858</v>
      </c>
      <c r="O276" t="s">
        <v>859</v>
      </c>
      <c r="P276" t="s">
        <v>13</v>
      </c>
      <c r="Q276">
        <v>0.3</v>
      </c>
      <c r="R276" t="s">
        <v>26</v>
      </c>
      <c r="S276" t="s">
        <v>15</v>
      </c>
      <c r="T276" t="s">
        <v>14</v>
      </c>
      <c r="U276">
        <v>10</v>
      </c>
      <c r="V276" t="s">
        <v>17</v>
      </c>
      <c r="W276">
        <f t="shared" si="108"/>
        <v>1</v>
      </c>
      <c r="X276" t="s">
        <v>14</v>
      </c>
      <c r="Y276" t="s">
        <v>14</v>
      </c>
      <c r="Z276">
        <v>0</v>
      </c>
      <c r="AA276">
        <f t="shared" si="88"/>
        <v>3061.2998522895127</v>
      </c>
      <c r="AB276">
        <f t="shared" si="89"/>
        <v>75.480059084194991</v>
      </c>
      <c r="AC276">
        <f t="shared" si="90"/>
        <v>14.623338257016249</v>
      </c>
      <c r="AD276" t="s">
        <v>15</v>
      </c>
      <c r="AE276" t="s">
        <v>15</v>
      </c>
      <c r="AF276" t="s">
        <v>24</v>
      </c>
      <c r="AG276" t="s">
        <v>14</v>
      </c>
      <c r="AH276" t="s">
        <v>14</v>
      </c>
      <c r="AI276" t="s">
        <v>18</v>
      </c>
      <c r="AJ276" t="s">
        <v>14</v>
      </c>
      <c r="AK276" t="s">
        <v>14</v>
      </c>
      <c r="AL276" t="s">
        <v>17</v>
      </c>
      <c r="AM276">
        <f t="shared" si="87"/>
        <v>19.373776908023483</v>
      </c>
      <c r="AN276">
        <f t="shared" si="93"/>
        <v>3384.5401174168296</v>
      </c>
      <c r="AO276">
        <f t="shared" si="94"/>
        <v>1122.504892367906</v>
      </c>
      <c r="AP276">
        <f t="shared" si="95"/>
        <v>182.1917808219178</v>
      </c>
      <c r="AQ276">
        <f t="shared" si="96"/>
        <v>1772.6027397260273</v>
      </c>
      <c r="AR276">
        <f t="shared" si="97"/>
        <v>2079.8434442270059</v>
      </c>
      <c r="AS276">
        <f t="shared" si="98"/>
        <v>0.29542097488921715</v>
      </c>
      <c r="AT276">
        <f t="shared" si="99"/>
        <v>60.856720827178734</v>
      </c>
      <c r="AU276">
        <f t="shared" si="100"/>
        <v>3.845041919629951</v>
      </c>
      <c r="AV276">
        <f t="shared" si="101"/>
        <v>52.37351835790691</v>
      </c>
      <c r="AW276">
        <f t="shared" si="102"/>
        <v>5.3830586874819311</v>
      </c>
      <c r="AX276">
        <f t="shared" si="103"/>
        <v>61.451286498988146</v>
      </c>
      <c r="AY276">
        <f t="shared" si="104"/>
        <v>2050.0000000000009</v>
      </c>
      <c r="AZ276">
        <f t="shared" si="105"/>
        <v>130.13698630136986</v>
      </c>
      <c r="BA276">
        <f t="shared" si="106"/>
        <v>80.626223091976513</v>
      </c>
      <c r="BB276" t="s">
        <v>31</v>
      </c>
      <c r="BC276" t="s">
        <v>31</v>
      </c>
      <c r="BD276">
        <v>6.77</v>
      </c>
      <c r="BE276">
        <v>5.1100000000000003</v>
      </c>
      <c r="BF276">
        <v>0.99</v>
      </c>
      <c r="BG276">
        <v>4.12</v>
      </c>
      <c r="BH276">
        <v>0.02</v>
      </c>
      <c r="BI276">
        <v>20725</v>
      </c>
      <c r="BJ276">
        <v>5736</v>
      </c>
      <c r="BK276">
        <v>9058</v>
      </c>
      <c r="BL276">
        <v>106</v>
      </c>
      <c r="BM276">
        <v>61</v>
      </c>
      <c r="BN276">
        <v>665</v>
      </c>
      <c r="BO276">
        <v>99</v>
      </c>
      <c r="BP276">
        <v>832</v>
      </c>
      <c r="BQ276">
        <v>738</v>
      </c>
      <c r="BR276">
        <v>3403</v>
      </c>
      <c r="BS276" t="s">
        <v>21</v>
      </c>
      <c r="BT276" t="s">
        <v>179</v>
      </c>
      <c r="BU276">
        <v>0</v>
      </c>
      <c r="BV276">
        <v>0.2</v>
      </c>
      <c r="BW276">
        <v>0</v>
      </c>
      <c r="BX276">
        <v>0.1</v>
      </c>
      <c r="BY276">
        <v>8.5</v>
      </c>
      <c r="BZ276">
        <v>8.5</v>
      </c>
      <c r="CA276">
        <v>2</v>
      </c>
      <c r="CB276">
        <v>2</v>
      </c>
      <c r="CC276">
        <v>0</v>
      </c>
      <c r="CD276">
        <f t="shared" si="107"/>
        <v>0</v>
      </c>
      <c r="CE276">
        <v>1</v>
      </c>
    </row>
    <row r="277" spans="1:83" x14ac:dyDescent="0.4">
      <c r="A277" t="s">
        <v>1224</v>
      </c>
      <c r="B277" t="s">
        <v>19</v>
      </c>
      <c r="C277" t="s">
        <v>19</v>
      </c>
      <c r="D277" t="s">
        <v>19</v>
      </c>
      <c r="E277" t="s">
        <v>69</v>
      </c>
      <c r="F277" t="s">
        <v>22</v>
      </c>
      <c r="G277">
        <v>30</v>
      </c>
      <c r="H277">
        <v>33</v>
      </c>
      <c r="I277">
        <v>9.5</v>
      </c>
      <c r="J277">
        <f t="shared" si="91"/>
        <v>20.5</v>
      </c>
      <c r="K277">
        <f t="shared" si="92"/>
        <v>23.5</v>
      </c>
      <c r="L277">
        <v>-3</v>
      </c>
      <c r="M277">
        <v>9.73</v>
      </c>
      <c r="N277" t="s">
        <v>860</v>
      </c>
      <c r="O277" t="s">
        <v>861</v>
      </c>
      <c r="P277" t="s">
        <v>13</v>
      </c>
      <c r="Q277">
        <v>0.3</v>
      </c>
      <c r="R277" t="s">
        <v>38</v>
      </c>
      <c r="S277" t="s">
        <v>35</v>
      </c>
      <c r="T277" t="s">
        <v>14</v>
      </c>
      <c r="U277">
        <v>37.5</v>
      </c>
      <c r="V277" t="s">
        <v>17</v>
      </c>
      <c r="W277">
        <f t="shared" si="108"/>
        <v>0.5</v>
      </c>
      <c r="X277" t="s">
        <v>14</v>
      </c>
      <c r="Y277" t="s">
        <v>14</v>
      </c>
      <c r="Z277">
        <v>10</v>
      </c>
      <c r="AA277">
        <f t="shared" si="88"/>
        <v>3369.9195171026158</v>
      </c>
      <c r="AB277">
        <f t="shared" si="89"/>
        <v>44.16498993963782</v>
      </c>
      <c r="AC277">
        <f t="shared" si="90"/>
        <v>4.5271629778672038</v>
      </c>
      <c r="AD277" t="s">
        <v>15</v>
      </c>
      <c r="AE277" t="s">
        <v>15</v>
      </c>
      <c r="AF277" t="s">
        <v>24</v>
      </c>
      <c r="AG277" t="s">
        <v>14</v>
      </c>
      <c r="AH277" t="s">
        <v>14</v>
      </c>
      <c r="AI277" t="s">
        <v>18</v>
      </c>
      <c r="AJ277" t="s">
        <v>14</v>
      </c>
      <c r="AK277" t="s">
        <v>14</v>
      </c>
      <c r="AL277" t="s">
        <v>14</v>
      </c>
      <c r="AM277">
        <f t="shared" si="87"/>
        <v>10.250569476082005</v>
      </c>
      <c r="AN277">
        <f t="shared" si="93"/>
        <v>3134.3963553530753</v>
      </c>
      <c r="AO277">
        <f t="shared" si="94"/>
        <v>742.36902050113906</v>
      </c>
      <c r="AP277">
        <f t="shared" si="95"/>
        <v>326.1958997722096</v>
      </c>
      <c r="AQ277">
        <f t="shared" si="96"/>
        <v>1966.5148063781323</v>
      </c>
      <c r="AR277">
        <f t="shared" si="97"/>
        <v>2065.8314350797268</v>
      </c>
      <c r="AS277">
        <f t="shared" si="98"/>
        <v>0.50301810865191154</v>
      </c>
      <c r="AT277">
        <f t="shared" si="99"/>
        <v>39.738430583501007</v>
      </c>
      <c r="AU277">
        <f t="shared" si="100"/>
        <v>7.6598837209302326</v>
      </c>
      <c r="AV277">
        <f t="shared" si="101"/>
        <v>62.739825581395351</v>
      </c>
      <c r="AW277">
        <f t="shared" si="102"/>
        <v>10.406976744186046</v>
      </c>
      <c r="AX277">
        <f t="shared" si="103"/>
        <v>65.908430232558146</v>
      </c>
      <c r="AY277">
        <f t="shared" si="104"/>
        <v>3550.6306306306305</v>
      </c>
      <c r="AZ277">
        <f t="shared" si="105"/>
        <v>240.09111617312075</v>
      </c>
      <c r="BA277">
        <f t="shared" si="106"/>
        <v>89.977220956719819</v>
      </c>
      <c r="BB277" t="s">
        <v>31</v>
      </c>
      <c r="BC277" t="s">
        <v>16</v>
      </c>
      <c r="BD277">
        <v>9.94</v>
      </c>
      <c r="BE277">
        <v>4.3899999999999997</v>
      </c>
      <c r="BF277">
        <v>0.45</v>
      </c>
      <c r="BG277">
        <v>3.95</v>
      </c>
      <c r="BH277">
        <v>0.05</v>
      </c>
      <c r="BI277">
        <v>33497</v>
      </c>
      <c r="BJ277">
        <v>3259</v>
      </c>
      <c r="BK277">
        <v>8633</v>
      </c>
      <c r="BL277">
        <v>156</v>
      </c>
      <c r="BM277">
        <v>63</v>
      </c>
      <c r="BN277">
        <v>1054</v>
      </c>
      <c r="BO277">
        <v>159</v>
      </c>
      <c r="BP277">
        <v>210</v>
      </c>
      <c r="BQ277">
        <v>226</v>
      </c>
      <c r="BR277">
        <v>19706</v>
      </c>
      <c r="BS277" t="s">
        <v>21</v>
      </c>
      <c r="BT277" t="s">
        <v>151</v>
      </c>
      <c r="BU277">
        <v>0</v>
      </c>
      <c r="BV277">
        <v>2.7</v>
      </c>
      <c r="BW277">
        <v>0.2</v>
      </c>
      <c r="BX277">
        <v>2.8</v>
      </c>
      <c r="BY277">
        <v>10.5</v>
      </c>
      <c r="BZ277">
        <v>11.2</v>
      </c>
      <c r="CA277">
        <v>2</v>
      </c>
      <c r="CB277">
        <v>1</v>
      </c>
      <c r="CC277">
        <v>0</v>
      </c>
      <c r="CD277">
        <f t="shared" si="107"/>
        <v>6.2499999999999889E-2</v>
      </c>
      <c r="CE277">
        <v>0.5</v>
      </c>
    </row>
    <row r="278" spans="1:83" x14ac:dyDescent="0.4">
      <c r="A278" t="s">
        <v>1225</v>
      </c>
      <c r="B278" t="s">
        <v>19</v>
      </c>
      <c r="C278" t="s">
        <v>19</v>
      </c>
      <c r="D278" t="s">
        <v>19</v>
      </c>
      <c r="E278" t="s">
        <v>69</v>
      </c>
      <c r="F278" t="s">
        <v>12</v>
      </c>
      <c r="G278">
        <v>40</v>
      </c>
      <c r="H278">
        <v>46</v>
      </c>
      <c r="I278">
        <v>21.5</v>
      </c>
      <c r="J278">
        <f t="shared" si="91"/>
        <v>18.5</v>
      </c>
      <c r="K278">
        <f t="shared" si="92"/>
        <v>24.5</v>
      </c>
      <c r="L278">
        <v>-6</v>
      </c>
      <c r="M278">
        <v>21.68</v>
      </c>
      <c r="N278" t="s">
        <v>863</v>
      </c>
      <c r="O278" t="s">
        <v>864</v>
      </c>
      <c r="P278" t="s">
        <v>13</v>
      </c>
      <c r="Q278">
        <v>1</v>
      </c>
      <c r="R278" t="s">
        <v>26</v>
      </c>
      <c r="S278" t="s">
        <v>27</v>
      </c>
      <c r="T278" t="s">
        <v>14</v>
      </c>
      <c r="U278">
        <v>2.5</v>
      </c>
      <c r="V278" t="s">
        <v>14</v>
      </c>
      <c r="W278">
        <f t="shared" si="108"/>
        <v>1</v>
      </c>
      <c r="X278" t="s">
        <v>17</v>
      </c>
      <c r="Y278" t="s">
        <v>14</v>
      </c>
      <c r="Z278">
        <v>0</v>
      </c>
      <c r="AA278">
        <f t="shared" si="88"/>
        <v>4613.7582520301457</v>
      </c>
      <c r="AB278">
        <f t="shared" si="89"/>
        <v>35.280715078576854</v>
      </c>
      <c r="AC278">
        <f t="shared" si="90"/>
        <v>18.437810363965649</v>
      </c>
      <c r="AD278" t="s">
        <v>15</v>
      </c>
      <c r="AE278" t="s">
        <v>27</v>
      </c>
      <c r="AF278" t="s">
        <v>18</v>
      </c>
      <c r="AG278" t="s">
        <v>17</v>
      </c>
      <c r="AH278" t="s">
        <v>17</v>
      </c>
      <c r="AI278" t="s">
        <v>41</v>
      </c>
      <c r="AJ278" t="s">
        <v>14</v>
      </c>
      <c r="AK278" t="s">
        <v>14</v>
      </c>
      <c r="AL278" t="s">
        <v>17</v>
      </c>
      <c r="AM278">
        <f t="shared" si="87"/>
        <v>52.260307998012912</v>
      </c>
      <c r="AN278">
        <f t="shared" si="93"/>
        <v>5806.6732902798476</v>
      </c>
      <c r="AO278">
        <f t="shared" si="94"/>
        <v>2834.5255837059117</v>
      </c>
      <c r="AP278">
        <f t="shared" si="95"/>
        <v>1578.2579897333997</v>
      </c>
      <c r="AQ278">
        <f t="shared" si="96"/>
        <v>801.88772975658219</v>
      </c>
      <c r="AR278">
        <f t="shared" si="97"/>
        <v>1393.8897168405365</v>
      </c>
      <c r="AS278">
        <f t="shared" si="98"/>
        <v>5.1527720979143545</v>
      </c>
      <c r="AT278">
        <f t="shared" si="99"/>
        <v>16.842904714611205</v>
      </c>
      <c r="AU278">
        <f t="shared" si="100"/>
        <v>15.250737883735189</v>
      </c>
      <c r="AV278">
        <f t="shared" si="101"/>
        <v>13.809761453238846</v>
      </c>
      <c r="AW278">
        <f t="shared" si="102"/>
        <v>27.180072148631886</v>
      </c>
      <c r="AX278">
        <f t="shared" si="103"/>
        <v>24.004962000769964</v>
      </c>
      <c r="AY278">
        <f t="shared" si="104"/>
        <v>3956.7069868207263</v>
      </c>
      <c r="AZ278">
        <f t="shared" si="105"/>
        <v>885.56052326544125</v>
      </c>
      <c r="BA278">
        <f t="shared" si="106"/>
        <v>47.739692001987081</v>
      </c>
      <c r="BB278" t="s">
        <v>16</v>
      </c>
      <c r="BC278" t="s">
        <v>16</v>
      </c>
      <c r="BD278">
        <v>171.17</v>
      </c>
      <c r="BE278">
        <v>60.39</v>
      </c>
      <c r="BF278">
        <v>31.56</v>
      </c>
      <c r="BG278">
        <v>28.83</v>
      </c>
      <c r="BH278">
        <v>8.82</v>
      </c>
      <c r="BI278">
        <v>789737</v>
      </c>
      <c r="BJ278">
        <v>171177</v>
      </c>
      <c r="BK278">
        <v>48426</v>
      </c>
      <c r="BL278">
        <v>32361</v>
      </c>
      <c r="BM278">
        <v>4992</v>
      </c>
      <c r="BN278">
        <v>53479</v>
      </c>
      <c r="BO278">
        <v>4479</v>
      </c>
      <c r="BP278">
        <v>4589</v>
      </c>
      <c r="BQ278">
        <v>31162</v>
      </c>
      <c r="BR278">
        <v>438324</v>
      </c>
      <c r="BS278" t="s">
        <v>21</v>
      </c>
      <c r="BT278" t="s">
        <v>862</v>
      </c>
      <c r="BU278">
        <v>0.1</v>
      </c>
      <c r="BV278">
        <v>0.4</v>
      </c>
      <c r="BW278">
        <v>0</v>
      </c>
      <c r="BX278">
        <v>0.1</v>
      </c>
      <c r="BY278">
        <v>179</v>
      </c>
      <c r="BZ278">
        <v>181.7</v>
      </c>
      <c r="CA278">
        <v>1</v>
      </c>
      <c r="CB278">
        <v>1</v>
      </c>
      <c r="CC278">
        <v>0</v>
      </c>
      <c r="CD278">
        <f t="shared" si="107"/>
        <v>1.485965877820572E-2</v>
      </c>
      <c r="CE278">
        <v>1</v>
      </c>
    </row>
    <row r="279" spans="1:83" x14ac:dyDescent="0.4">
      <c r="A279" t="s">
        <v>1226</v>
      </c>
      <c r="B279" t="s">
        <v>25</v>
      </c>
      <c r="C279" t="s">
        <v>82</v>
      </c>
      <c r="D279" t="s">
        <v>82</v>
      </c>
      <c r="E279" t="s">
        <v>69</v>
      </c>
      <c r="F279" t="s">
        <v>32</v>
      </c>
      <c r="G279">
        <v>20</v>
      </c>
      <c r="H279">
        <v>23</v>
      </c>
      <c r="I279">
        <v>39</v>
      </c>
      <c r="J279">
        <f t="shared" si="91"/>
        <v>-19</v>
      </c>
      <c r="K279">
        <f t="shared" si="92"/>
        <v>-16</v>
      </c>
      <c r="L279">
        <v>-3</v>
      </c>
      <c r="M279">
        <v>38.869999999999997</v>
      </c>
      <c r="N279" t="s">
        <v>865</v>
      </c>
      <c r="O279" t="s">
        <v>866</v>
      </c>
      <c r="P279" t="s">
        <v>13</v>
      </c>
      <c r="Q279">
        <v>0.2</v>
      </c>
      <c r="R279" t="s">
        <v>13</v>
      </c>
      <c r="S279" t="s">
        <v>15</v>
      </c>
      <c r="T279" t="s">
        <v>14</v>
      </c>
      <c r="U279">
        <v>0</v>
      </c>
      <c r="V279" t="s">
        <v>14</v>
      </c>
      <c r="W279">
        <v>0</v>
      </c>
      <c r="X279" t="s">
        <v>14</v>
      </c>
      <c r="Y279" t="s">
        <v>14</v>
      </c>
      <c r="Z279">
        <v>0</v>
      </c>
      <c r="AA279">
        <f t="shared" si="88"/>
        <v>3031.25</v>
      </c>
      <c r="AB279">
        <f t="shared" si="89"/>
        <v>43.750000000000007</v>
      </c>
      <c r="AC279">
        <f t="shared" si="90"/>
        <v>34.375</v>
      </c>
      <c r="AD279" t="s">
        <v>15</v>
      </c>
      <c r="AE279" t="s">
        <v>15</v>
      </c>
      <c r="AF279" t="s">
        <v>18</v>
      </c>
      <c r="AG279" t="s">
        <v>14</v>
      </c>
      <c r="AH279" t="s">
        <v>14</v>
      </c>
      <c r="AI279" t="s">
        <v>14</v>
      </c>
      <c r="AJ279" t="s">
        <v>14</v>
      </c>
      <c r="AK279" t="s">
        <v>14</v>
      </c>
      <c r="AL279" t="s">
        <v>14</v>
      </c>
      <c r="AM279">
        <f t="shared" ref="AM279:AM301" si="109">BF279*100/BE279</f>
        <v>78.571428571428569</v>
      </c>
      <c r="AN279">
        <f t="shared" si="93"/>
        <v>5314.2857142857138</v>
      </c>
      <c r="AO279">
        <f t="shared" si="94"/>
        <v>2692.8571428571427</v>
      </c>
      <c r="AP279">
        <f t="shared" si="95"/>
        <v>1285.7142857142856</v>
      </c>
      <c r="AQ279">
        <f t="shared" si="96"/>
        <v>149.99999999999997</v>
      </c>
      <c r="AR279">
        <f t="shared" si="97"/>
        <v>1335.7142857142856</v>
      </c>
      <c r="AS279">
        <f t="shared" si="98"/>
        <v>31.25</v>
      </c>
      <c r="AT279">
        <f t="shared" si="99"/>
        <v>9.375</v>
      </c>
      <c r="AU279">
        <f t="shared" si="100"/>
        <v>13.172043010752688</v>
      </c>
      <c r="AV279">
        <f t="shared" si="101"/>
        <v>2.8225806451612905</v>
      </c>
      <c r="AW279">
        <f t="shared" si="102"/>
        <v>24.193548387096776</v>
      </c>
      <c r="AX279">
        <f t="shared" si="103"/>
        <v>25.134408602150536</v>
      </c>
      <c r="AY279">
        <f t="shared" si="104"/>
        <v>1244.4444444444446</v>
      </c>
      <c r="AZ279">
        <f t="shared" si="105"/>
        <v>699.99999999999989</v>
      </c>
      <c r="BA279">
        <f t="shared" si="106"/>
        <v>21.428571428571427</v>
      </c>
      <c r="BB279" t="s">
        <v>33</v>
      </c>
      <c r="BC279" t="s">
        <v>33</v>
      </c>
      <c r="BD279">
        <v>0.32</v>
      </c>
      <c r="BE279">
        <v>0.14000000000000001</v>
      </c>
      <c r="BF279">
        <v>0.11</v>
      </c>
      <c r="BG279">
        <v>0.03</v>
      </c>
      <c r="BH279">
        <v>0.1</v>
      </c>
      <c r="BI279">
        <v>970</v>
      </c>
      <c r="BJ279">
        <v>377</v>
      </c>
      <c r="BK279">
        <v>21</v>
      </c>
      <c r="BL279">
        <v>36</v>
      </c>
      <c r="BM279">
        <v>11</v>
      </c>
      <c r="BN279">
        <v>98</v>
      </c>
      <c r="BO279">
        <v>35</v>
      </c>
      <c r="BP279">
        <v>7</v>
      </c>
      <c r="BQ279">
        <v>159</v>
      </c>
      <c r="BR279">
        <v>224</v>
      </c>
      <c r="BS279" t="s">
        <v>44</v>
      </c>
      <c r="BT279" t="s">
        <v>165</v>
      </c>
      <c r="BU279">
        <v>0</v>
      </c>
      <c r="BV279">
        <v>0</v>
      </c>
      <c r="BW279">
        <v>0</v>
      </c>
      <c r="BX279">
        <v>0</v>
      </c>
      <c r="BY279">
        <v>5.0999999999999996</v>
      </c>
      <c r="BZ279">
        <v>5.0999999999999996</v>
      </c>
      <c r="CA279">
        <v>0</v>
      </c>
      <c r="CB279">
        <v>0</v>
      </c>
      <c r="CC279">
        <v>0</v>
      </c>
      <c r="CD279">
        <f t="shared" si="107"/>
        <v>0</v>
      </c>
      <c r="CE279">
        <v>0</v>
      </c>
    </row>
    <row r="280" spans="1:83" x14ac:dyDescent="0.4">
      <c r="A280" t="s">
        <v>1227</v>
      </c>
      <c r="B280" t="s">
        <v>19</v>
      </c>
      <c r="C280" t="s">
        <v>19</v>
      </c>
      <c r="D280" t="s">
        <v>19</v>
      </c>
      <c r="E280" t="s">
        <v>69</v>
      </c>
      <c r="F280" t="s">
        <v>12</v>
      </c>
      <c r="G280">
        <v>50</v>
      </c>
      <c r="H280">
        <v>77</v>
      </c>
      <c r="I280">
        <v>78</v>
      </c>
      <c r="J280">
        <f t="shared" si="91"/>
        <v>-28</v>
      </c>
      <c r="K280">
        <f t="shared" si="92"/>
        <v>-1</v>
      </c>
      <c r="L280">
        <v>-27</v>
      </c>
      <c r="M280">
        <v>78.03</v>
      </c>
      <c r="N280" t="s">
        <v>868</v>
      </c>
      <c r="O280" t="s">
        <v>869</v>
      </c>
      <c r="P280" t="s">
        <v>13</v>
      </c>
      <c r="Q280">
        <v>2.8</v>
      </c>
      <c r="R280" t="s">
        <v>13</v>
      </c>
      <c r="S280" t="s">
        <v>35</v>
      </c>
      <c r="T280" t="s">
        <v>17</v>
      </c>
      <c r="U280">
        <v>2.5</v>
      </c>
      <c r="V280" t="s">
        <v>14</v>
      </c>
      <c r="W280">
        <f t="shared" ref="W280:W293" si="110">BC280/BB280</f>
        <v>1</v>
      </c>
      <c r="X280" t="s">
        <v>14</v>
      </c>
      <c r="Y280" t="s">
        <v>14</v>
      </c>
      <c r="Z280">
        <v>10</v>
      </c>
      <c r="AA280">
        <f t="shared" si="88"/>
        <v>4937.4906775285408</v>
      </c>
      <c r="AB280">
        <f t="shared" si="89"/>
        <v>79.651196144799499</v>
      </c>
      <c r="AC280">
        <f t="shared" si="90"/>
        <v>50.656875681257532</v>
      </c>
      <c r="AD280" t="s">
        <v>15</v>
      </c>
      <c r="AE280" t="s">
        <v>37</v>
      </c>
      <c r="AF280" t="s">
        <v>18</v>
      </c>
      <c r="AG280" t="s">
        <v>14</v>
      </c>
      <c r="AH280" t="s">
        <v>14</v>
      </c>
      <c r="AI280" t="s">
        <v>18</v>
      </c>
      <c r="AJ280" t="s">
        <v>14</v>
      </c>
      <c r="AK280" t="s">
        <v>14</v>
      </c>
      <c r="AL280" t="s">
        <v>14</v>
      </c>
      <c r="AM280">
        <f t="shared" si="109"/>
        <v>63.598386632094495</v>
      </c>
      <c r="AN280">
        <f t="shared" si="93"/>
        <v>5971.002592912705</v>
      </c>
      <c r="AO280">
        <f t="shared" si="94"/>
        <v>4836.8409680207433</v>
      </c>
      <c r="AP280">
        <f t="shared" si="95"/>
        <v>395.5776433304523</v>
      </c>
      <c r="AQ280">
        <f t="shared" si="96"/>
        <v>554.95534428118697</v>
      </c>
      <c r="AR280">
        <f t="shared" si="97"/>
        <v>738.58398156150963</v>
      </c>
      <c r="AS280">
        <f t="shared" si="98"/>
        <v>16.545235499971316</v>
      </c>
      <c r="AT280">
        <f t="shared" si="99"/>
        <v>28.994320463541964</v>
      </c>
      <c r="AU280">
        <f t="shared" si="100"/>
        <v>3.0572463191212695</v>
      </c>
      <c r="AV280">
        <f t="shared" si="101"/>
        <v>9.2941735603982565</v>
      </c>
      <c r="AW280">
        <f t="shared" si="102"/>
        <v>6.6249785890226223</v>
      </c>
      <c r="AX280">
        <f t="shared" si="103"/>
        <v>12.369513663219198</v>
      </c>
      <c r="AY280">
        <f t="shared" si="104"/>
        <v>876.03608683394418</v>
      </c>
      <c r="AZ280">
        <f t="shared" si="105"/>
        <v>182.54825698645922</v>
      </c>
      <c r="BA280">
        <f t="shared" si="106"/>
        <v>36.401613367905505</v>
      </c>
      <c r="BB280" t="s">
        <v>28</v>
      </c>
      <c r="BC280" t="s">
        <v>28</v>
      </c>
      <c r="BD280">
        <v>174.31</v>
      </c>
      <c r="BE280">
        <v>138.84</v>
      </c>
      <c r="BF280">
        <v>88.3</v>
      </c>
      <c r="BG280">
        <v>50.54</v>
      </c>
      <c r="BH280">
        <v>28.84</v>
      </c>
      <c r="BI280">
        <v>860654</v>
      </c>
      <c r="BJ280">
        <v>671547</v>
      </c>
      <c r="BK280">
        <v>77050</v>
      </c>
      <c r="BL280">
        <v>13366</v>
      </c>
      <c r="BM280">
        <v>1809</v>
      </c>
      <c r="BN280">
        <v>25345</v>
      </c>
      <c r="BO280">
        <v>14402</v>
      </c>
      <c r="BP280">
        <v>13864</v>
      </c>
      <c r="BQ280">
        <v>11631</v>
      </c>
      <c r="BR280">
        <v>31073</v>
      </c>
      <c r="BS280" t="s">
        <v>21</v>
      </c>
      <c r="BT280" t="s">
        <v>867</v>
      </c>
      <c r="BU280">
        <v>0</v>
      </c>
      <c r="BV280">
        <v>4.2</v>
      </c>
      <c r="BW280">
        <v>0.5</v>
      </c>
      <c r="BX280">
        <v>5.6</v>
      </c>
      <c r="BY280">
        <v>185.7</v>
      </c>
      <c r="BZ280">
        <v>214</v>
      </c>
      <c r="CA280">
        <v>4</v>
      </c>
      <c r="CB280">
        <v>4</v>
      </c>
      <c r="CC280">
        <v>0</v>
      </c>
      <c r="CD280">
        <f t="shared" si="107"/>
        <v>0.13224299065420564</v>
      </c>
      <c r="CE280">
        <v>1</v>
      </c>
    </row>
    <row r="281" spans="1:83" x14ac:dyDescent="0.4">
      <c r="A281" t="s">
        <v>1228</v>
      </c>
      <c r="B281" t="s">
        <v>19</v>
      </c>
      <c r="C281" t="s">
        <v>19</v>
      </c>
      <c r="D281" t="s">
        <v>19</v>
      </c>
      <c r="E281" t="s">
        <v>69</v>
      </c>
      <c r="F281" t="s">
        <v>12</v>
      </c>
      <c r="G281">
        <v>30</v>
      </c>
      <c r="H281">
        <v>39</v>
      </c>
      <c r="I281">
        <v>47</v>
      </c>
      <c r="J281">
        <f t="shared" si="91"/>
        <v>-17</v>
      </c>
      <c r="K281">
        <f t="shared" si="92"/>
        <v>-8</v>
      </c>
      <c r="L281">
        <v>-9</v>
      </c>
      <c r="M281">
        <v>46.96</v>
      </c>
      <c r="N281" t="s">
        <v>871</v>
      </c>
      <c r="O281" t="s">
        <v>872</v>
      </c>
      <c r="P281" t="s">
        <v>13</v>
      </c>
      <c r="Q281">
        <v>1.2</v>
      </c>
      <c r="R281" t="s">
        <v>13</v>
      </c>
      <c r="S281" t="s">
        <v>35</v>
      </c>
      <c r="T281" t="s">
        <v>14</v>
      </c>
      <c r="U281">
        <v>17.5</v>
      </c>
      <c r="V281" t="s">
        <v>17</v>
      </c>
      <c r="W281">
        <f t="shared" si="110"/>
        <v>1</v>
      </c>
      <c r="X281" t="s">
        <v>14</v>
      </c>
      <c r="Y281" t="s">
        <v>14</v>
      </c>
      <c r="Z281">
        <v>10</v>
      </c>
      <c r="AA281">
        <f t="shared" si="88"/>
        <v>4492.0906370243692</v>
      </c>
      <c r="AB281">
        <f t="shared" si="89"/>
        <v>56.562633604104313</v>
      </c>
      <c r="AC281">
        <f t="shared" si="90"/>
        <v>32.02223172295853</v>
      </c>
      <c r="AD281" t="s">
        <v>15</v>
      </c>
      <c r="AE281" t="s">
        <v>37</v>
      </c>
      <c r="AF281" t="s">
        <v>18</v>
      </c>
      <c r="AG281" t="s">
        <v>17</v>
      </c>
      <c r="AH281" t="s">
        <v>14</v>
      </c>
      <c r="AI281" t="s">
        <v>18</v>
      </c>
      <c r="AJ281" t="s">
        <v>14</v>
      </c>
      <c r="AK281" t="s">
        <v>14</v>
      </c>
      <c r="AL281" t="s">
        <v>14</v>
      </c>
      <c r="AM281">
        <f t="shared" si="109"/>
        <v>56.613756613756614</v>
      </c>
      <c r="AN281">
        <f t="shared" si="93"/>
        <v>5761.3756613756614</v>
      </c>
      <c r="AO281">
        <f t="shared" si="94"/>
        <v>3729.856386999244</v>
      </c>
      <c r="AP281">
        <f t="shared" si="95"/>
        <v>1077.4754346182917</v>
      </c>
      <c r="AQ281">
        <f t="shared" si="96"/>
        <v>766.5910808767951</v>
      </c>
      <c r="AR281">
        <f t="shared" si="97"/>
        <v>954.04383975812539</v>
      </c>
      <c r="AS281">
        <f t="shared" si="98"/>
        <v>15.091919623770842</v>
      </c>
      <c r="AT281">
        <f t="shared" si="99"/>
        <v>24.540401881145787</v>
      </c>
      <c r="AU281">
        <f t="shared" si="100"/>
        <v>9.0589454626556289</v>
      </c>
      <c r="AV281">
        <f t="shared" si="101"/>
        <v>13.305695131390788</v>
      </c>
      <c r="AW281">
        <f t="shared" si="102"/>
        <v>18.70170421001535</v>
      </c>
      <c r="AX281">
        <f t="shared" si="103"/>
        <v>16.559306246146175</v>
      </c>
      <c r="AY281">
        <f t="shared" si="104"/>
        <v>2825.9842519685039</v>
      </c>
      <c r="AZ281">
        <f t="shared" si="105"/>
        <v>521.91987906273619</v>
      </c>
      <c r="BA281">
        <f t="shared" si="106"/>
        <v>43.386243386243386</v>
      </c>
      <c r="BB281" t="s">
        <v>16</v>
      </c>
      <c r="BC281" t="s">
        <v>16</v>
      </c>
      <c r="BD281">
        <v>23.39</v>
      </c>
      <c r="BE281">
        <v>13.23</v>
      </c>
      <c r="BF281">
        <v>7.49</v>
      </c>
      <c r="BG281">
        <v>5.74</v>
      </c>
      <c r="BH281">
        <v>3.53</v>
      </c>
      <c r="BI281">
        <v>105070</v>
      </c>
      <c r="BJ281">
        <v>49346</v>
      </c>
      <c r="BK281">
        <v>10142</v>
      </c>
      <c r="BL281">
        <v>3522</v>
      </c>
      <c r="BM281">
        <v>363</v>
      </c>
      <c r="BN281">
        <v>6905</v>
      </c>
      <c r="BO281">
        <v>3465</v>
      </c>
      <c r="BP281">
        <v>1174</v>
      </c>
      <c r="BQ281">
        <v>1306</v>
      </c>
      <c r="BR281">
        <v>28712</v>
      </c>
      <c r="BS281" t="s">
        <v>21</v>
      </c>
      <c r="BT281" t="s">
        <v>870</v>
      </c>
      <c r="BU281">
        <v>0</v>
      </c>
      <c r="BV281">
        <v>1.1000000000000001</v>
      </c>
      <c r="BW281">
        <v>0.1</v>
      </c>
      <c r="BX281">
        <v>2.1</v>
      </c>
      <c r="BY281">
        <v>25.4</v>
      </c>
      <c r="BZ281">
        <v>26.6</v>
      </c>
      <c r="CA281">
        <v>1</v>
      </c>
      <c r="CB281">
        <v>1</v>
      </c>
      <c r="CC281">
        <v>0</v>
      </c>
      <c r="CD281">
        <f t="shared" si="107"/>
        <v>4.5112781954887327E-2</v>
      </c>
      <c r="CE281">
        <v>1</v>
      </c>
    </row>
    <row r="282" spans="1:83" x14ac:dyDescent="0.4">
      <c r="A282" t="s">
        <v>1229</v>
      </c>
      <c r="B282" t="s">
        <v>69</v>
      </c>
      <c r="C282" t="s">
        <v>73</v>
      </c>
      <c r="D282" t="s">
        <v>82</v>
      </c>
      <c r="E282" t="s">
        <v>69</v>
      </c>
      <c r="F282" t="s">
        <v>12</v>
      </c>
      <c r="G282">
        <v>30</v>
      </c>
      <c r="H282">
        <v>47</v>
      </c>
      <c r="I282">
        <v>41.5</v>
      </c>
      <c r="J282">
        <f t="shared" si="91"/>
        <v>-11.5</v>
      </c>
      <c r="K282">
        <f t="shared" si="92"/>
        <v>5.5</v>
      </c>
      <c r="L282">
        <v>-17</v>
      </c>
      <c r="M282">
        <v>41.38</v>
      </c>
      <c r="N282" t="s">
        <v>874</v>
      </c>
      <c r="O282" t="s">
        <v>875</v>
      </c>
      <c r="P282" t="s">
        <v>13</v>
      </c>
      <c r="Q282">
        <v>0.2</v>
      </c>
      <c r="R282" t="s">
        <v>13</v>
      </c>
      <c r="S282" t="s">
        <v>15</v>
      </c>
      <c r="T282" t="s">
        <v>14</v>
      </c>
      <c r="U282">
        <v>0</v>
      </c>
      <c r="V282" t="s">
        <v>14</v>
      </c>
      <c r="W282">
        <f t="shared" si="110"/>
        <v>1</v>
      </c>
      <c r="X282" t="s">
        <v>14</v>
      </c>
      <c r="Y282" t="s">
        <v>14</v>
      </c>
      <c r="Z282">
        <v>0</v>
      </c>
      <c r="AA282">
        <f t="shared" si="88"/>
        <v>4033.7370858567865</v>
      </c>
      <c r="AB282">
        <f t="shared" si="89"/>
        <v>79.26612041325258</v>
      </c>
      <c r="AC282">
        <f t="shared" si="90"/>
        <v>27.124153900961879</v>
      </c>
      <c r="AD282" t="s">
        <v>15</v>
      </c>
      <c r="AE282" t="s">
        <v>37</v>
      </c>
      <c r="AF282" t="s">
        <v>24</v>
      </c>
      <c r="AG282" t="s">
        <v>17</v>
      </c>
      <c r="AH282" t="s">
        <v>17</v>
      </c>
      <c r="AI282" t="s">
        <v>41</v>
      </c>
      <c r="AJ282" t="s">
        <v>14</v>
      </c>
      <c r="AK282" t="s">
        <v>14</v>
      </c>
      <c r="AL282" t="s">
        <v>14</v>
      </c>
      <c r="AM282">
        <f t="shared" si="109"/>
        <v>34.219101123595507</v>
      </c>
      <c r="AN282">
        <f t="shared" si="93"/>
        <v>4592.8988764044943</v>
      </c>
      <c r="AO282">
        <f t="shared" si="94"/>
        <v>2105.5280898876404</v>
      </c>
      <c r="AP282">
        <f t="shared" si="95"/>
        <v>904.59550561797755</v>
      </c>
      <c r="AQ282">
        <f t="shared" si="96"/>
        <v>1341.0730337078651</v>
      </c>
      <c r="AR282">
        <f t="shared" si="97"/>
        <v>1582.7752808988764</v>
      </c>
      <c r="AS282">
        <f t="shared" si="98"/>
        <v>10.268970431065194</v>
      </c>
      <c r="AT282">
        <f t="shared" si="99"/>
        <v>52.141966512290701</v>
      </c>
      <c r="AU282">
        <f t="shared" si="100"/>
        <v>10.31196179740097</v>
      </c>
      <c r="AV282">
        <f t="shared" si="101"/>
        <v>29.198836503835917</v>
      </c>
      <c r="AW282">
        <f t="shared" si="102"/>
        <v>19.695524111476438</v>
      </c>
      <c r="AX282">
        <f t="shared" si="103"/>
        <v>34.461357053389698</v>
      </c>
      <c r="AY282">
        <f t="shared" si="104"/>
        <v>1861.6838487972507</v>
      </c>
      <c r="AZ282">
        <f t="shared" si="105"/>
        <v>473.61797752808991</v>
      </c>
      <c r="BA282">
        <f t="shared" si="106"/>
        <v>65.780898876404493</v>
      </c>
      <c r="BB282" t="s">
        <v>16</v>
      </c>
      <c r="BC282" t="s">
        <v>16</v>
      </c>
      <c r="BD282">
        <v>224.56</v>
      </c>
      <c r="BE282">
        <v>178</v>
      </c>
      <c r="BF282">
        <v>60.91</v>
      </c>
      <c r="BG282">
        <v>117.09</v>
      </c>
      <c r="BH282">
        <v>23.06</v>
      </c>
      <c r="BI282">
        <v>905816</v>
      </c>
      <c r="BJ282">
        <v>374784</v>
      </c>
      <c r="BK282">
        <v>238711</v>
      </c>
      <c r="BL282">
        <v>32447</v>
      </c>
      <c r="BM282">
        <v>23297</v>
      </c>
      <c r="BN282">
        <v>84304</v>
      </c>
      <c r="BO282">
        <v>20970</v>
      </c>
      <c r="BP282">
        <v>29282</v>
      </c>
      <c r="BQ282">
        <v>13741</v>
      </c>
      <c r="BR282">
        <v>86680</v>
      </c>
      <c r="BS282" t="s">
        <v>21</v>
      </c>
      <c r="BT282" t="s">
        <v>873</v>
      </c>
      <c r="BU282">
        <v>0</v>
      </c>
      <c r="BV282">
        <v>0.1</v>
      </c>
      <c r="BW282">
        <v>0</v>
      </c>
      <c r="BX282">
        <v>0.1</v>
      </c>
      <c r="BY282">
        <v>242.8</v>
      </c>
      <c r="BZ282">
        <v>243.7</v>
      </c>
      <c r="CA282">
        <v>1</v>
      </c>
      <c r="CB282">
        <v>1</v>
      </c>
      <c r="CC282">
        <v>0</v>
      </c>
      <c r="CD282">
        <f t="shared" si="107"/>
        <v>3.6930652441525824E-3</v>
      </c>
      <c r="CE282">
        <v>1</v>
      </c>
    </row>
    <row r="283" spans="1:83" x14ac:dyDescent="0.4">
      <c r="A283" t="s">
        <v>1230</v>
      </c>
      <c r="B283" t="s">
        <v>19</v>
      </c>
      <c r="C283" t="s">
        <v>19</v>
      </c>
      <c r="D283" t="s">
        <v>19</v>
      </c>
      <c r="E283" t="s">
        <v>69</v>
      </c>
      <c r="F283" t="s">
        <v>22</v>
      </c>
      <c r="G283">
        <v>50</v>
      </c>
      <c r="H283">
        <v>40</v>
      </c>
      <c r="I283">
        <v>11</v>
      </c>
      <c r="J283">
        <f t="shared" si="91"/>
        <v>39</v>
      </c>
      <c r="K283">
        <f t="shared" si="92"/>
        <v>29</v>
      </c>
      <c r="L283">
        <v>10</v>
      </c>
      <c r="M283">
        <v>10.92</v>
      </c>
      <c r="N283" t="s">
        <v>876</v>
      </c>
      <c r="O283" t="s">
        <v>877</v>
      </c>
      <c r="P283" t="s">
        <v>13</v>
      </c>
      <c r="Q283">
        <v>0</v>
      </c>
      <c r="R283" t="s">
        <v>26</v>
      </c>
      <c r="S283" t="s">
        <v>15</v>
      </c>
      <c r="T283" t="s">
        <v>14</v>
      </c>
      <c r="U283">
        <v>5</v>
      </c>
      <c r="V283" t="s">
        <v>14</v>
      </c>
      <c r="W283">
        <f t="shared" si="110"/>
        <v>0.25</v>
      </c>
      <c r="X283" t="s">
        <v>14</v>
      </c>
      <c r="Y283" t="s">
        <v>14</v>
      </c>
      <c r="Z283">
        <v>5</v>
      </c>
      <c r="AA283">
        <f t="shared" si="88"/>
        <v>3423.4666666666667</v>
      </c>
      <c r="AB283">
        <f t="shared" si="89"/>
        <v>8</v>
      </c>
      <c r="AC283">
        <f t="shared" si="90"/>
        <v>4.8</v>
      </c>
      <c r="AD283" t="s">
        <v>15</v>
      </c>
      <c r="AE283" t="s">
        <v>15</v>
      </c>
      <c r="AF283" t="s">
        <v>18</v>
      </c>
      <c r="AG283" t="s">
        <v>14</v>
      </c>
      <c r="AH283" t="s">
        <v>14</v>
      </c>
      <c r="AI283" t="s">
        <v>18</v>
      </c>
      <c r="AJ283" t="s">
        <v>14</v>
      </c>
      <c r="AK283" t="s">
        <v>14</v>
      </c>
      <c r="AL283" t="s">
        <v>14</v>
      </c>
      <c r="AM283">
        <f t="shared" si="109"/>
        <v>60</v>
      </c>
      <c r="AN283">
        <f t="shared" si="93"/>
        <v>6186.666666666667</v>
      </c>
      <c r="AO283">
        <f t="shared" si="94"/>
        <v>4673.3333333333339</v>
      </c>
      <c r="AP283">
        <f t="shared" si="95"/>
        <v>513.33333333333337</v>
      </c>
      <c r="AQ283">
        <f t="shared" si="96"/>
        <v>683.33333333333337</v>
      </c>
      <c r="AR283">
        <f t="shared" si="97"/>
        <v>1000</v>
      </c>
      <c r="AS283">
        <f t="shared" si="98"/>
        <v>0.26666666666666666</v>
      </c>
      <c r="AT283">
        <f t="shared" si="99"/>
        <v>3.2</v>
      </c>
      <c r="AU283">
        <f t="shared" si="100"/>
        <v>3.6637931034482758</v>
      </c>
      <c r="AV283">
        <f t="shared" si="101"/>
        <v>11.045258620689655</v>
      </c>
      <c r="AW283">
        <f t="shared" si="102"/>
        <v>8.2974137931034484</v>
      </c>
      <c r="AX283">
        <f t="shared" si="103"/>
        <v>16.163793103448278</v>
      </c>
      <c r="AY283">
        <f t="shared" si="104"/>
        <v>3183.1884057971015</v>
      </c>
      <c r="AZ283">
        <f t="shared" si="105"/>
        <v>226.66666666666669</v>
      </c>
      <c r="BA283">
        <f t="shared" si="106"/>
        <v>40</v>
      </c>
      <c r="BB283" t="s">
        <v>28</v>
      </c>
      <c r="BC283" t="s">
        <v>16</v>
      </c>
      <c r="BD283">
        <v>3.75</v>
      </c>
      <c r="BE283">
        <v>0.3</v>
      </c>
      <c r="BF283">
        <v>0.18</v>
      </c>
      <c r="BG283">
        <v>0.12</v>
      </c>
      <c r="BH283">
        <v>0.01</v>
      </c>
      <c r="BI283">
        <v>12838</v>
      </c>
      <c r="BJ283">
        <v>1402</v>
      </c>
      <c r="BK283">
        <v>205</v>
      </c>
      <c r="BL283">
        <v>53</v>
      </c>
      <c r="BM283">
        <v>3</v>
      </c>
      <c r="BN283">
        <v>68</v>
      </c>
      <c r="BO283">
        <v>30</v>
      </c>
      <c r="BP283">
        <v>32</v>
      </c>
      <c r="BQ283">
        <v>63</v>
      </c>
      <c r="BR283">
        <v>10982</v>
      </c>
      <c r="BS283" t="s">
        <v>44</v>
      </c>
      <c r="BT283" t="s">
        <v>143</v>
      </c>
      <c r="BU283">
        <v>0</v>
      </c>
      <c r="BV283">
        <v>0</v>
      </c>
      <c r="BW283">
        <v>0</v>
      </c>
      <c r="BX283">
        <v>0.3</v>
      </c>
      <c r="BY283">
        <v>5.4</v>
      </c>
      <c r="BZ283">
        <v>5.4</v>
      </c>
      <c r="CA283">
        <v>4</v>
      </c>
      <c r="CB283">
        <v>1</v>
      </c>
      <c r="CC283">
        <v>0</v>
      </c>
      <c r="CD283">
        <f t="shared" si="107"/>
        <v>0</v>
      </c>
      <c r="CE283">
        <v>0.25</v>
      </c>
    </row>
    <row r="284" spans="1:83" x14ac:dyDescent="0.4">
      <c r="A284" t="s">
        <v>1231</v>
      </c>
      <c r="B284" t="s">
        <v>25</v>
      </c>
      <c r="C284" t="s">
        <v>82</v>
      </c>
      <c r="D284" t="s">
        <v>82</v>
      </c>
      <c r="E284" t="s">
        <v>69</v>
      </c>
      <c r="F284" t="s">
        <v>12</v>
      </c>
      <c r="G284">
        <v>30</v>
      </c>
      <c r="H284">
        <v>10</v>
      </c>
      <c r="I284">
        <v>19.5</v>
      </c>
      <c r="J284">
        <f t="shared" si="91"/>
        <v>10.5</v>
      </c>
      <c r="K284">
        <f t="shared" si="92"/>
        <v>-9.5</v>
      </c>
      <c r="L284">
        <v>20</v>
      </c>
      <c r="M284">
        <v>19.43</v>
      </c>
      <c r="N284" t="s">
        <v>878</v>
      </c>
      <c r="O284" t="s">
        <v>879</v>
      </c>
      <c r="P284" t="s">
        <v>26</v>
      </c>
      <c r="Q284">
        <v>12.1</v>
      </c>
      <c r="R284" t="s">
        <v>13</v>
      </c>
      <c r="S284" t="s">
        <v>35</v>
      </c>
      <c r="T284" t="s">
        <v>14</v>
      </c>
      <c r="U284">
        <v>17.5</v>
      </c>
      <c r="V284" t="s">
        <v>17</v>
      </c>
      <c r="W284">
        <f t="shared" si="110"/>
        <v>1</v>
      </c>
      <c r="X284" t="s">
        <v>14</v>
      </c>
      <c r="Y284" t="s">
        <v>14</v>
      </c>
      <c r="Z284">
        <v>5</v>
      </c>
      <c r="AA284">
        <f t="shared" si="88"/>
        <v>3301.8339034587611</v>
      </c>
      <c r="AB284">
        <f t="shared" si="89"/>
        <v>60.053211706575446</v>
      </c>
      <c r="AC284">
        <f t="shared" si="90"/>
        <v>10.509312048650704</v>
      </c>
      <c r="AD284" t="s">
        <v>15</v>
      </c>
      <c r="AE284" t="s">
        <v>15</v>
      </c>
      <c r="AF284" t="s">
        <v>18</v>
      </c>
      <c r="AG284" t="s">
        <v>14</v>
      </c>
      <c r="AH284" t="s">
        <v>14</v>
      </c>
      <c r="AI284" t="s">
        <v>18</v>
      </c>
      <c r="AJ284" t="s">
        <v>14</v>
      </c>
      <c r="AK284" t="s">
        <v>14</v>
      </c>
      <c r="AL284" t="s">
        <v>14</v>
      </c>
      <c r="AM284">
        <f t="shared" si="109"/>
        <v>17.5</v>
      </c>
      <c r="AN284">
        <f t="shared" si="93"/>
        <v>3793.5284810126582</v>
      </c>
      <c r="AO284">
        <f t="shared" si="94"/>
        <v>1068.5443037974683</v>
      </c>
      <c r="AP284">
        <f t="shared" si="95"/>
        <v>761.39240506329111</v>
      </c>
      <c r="AQ284">
        <f t="shared" si="96"/>
        <v>1435.8227848101264</v>
      </c>
      <c r="AR284">
        <f t="shared" si="97"/>
        <v>1963.5917721518986</v>
      </c>
      <c r="AS284">
        <f t="shared" si="98"/>
        <v>0.19954389965792474</v>
      </c>
      <c r="AT284">
        <f t="shared" si="99"/>
        <v>49.543899657924747</v>
      </c>
      <c r="AU284">
        <f t="shared" si="100"/>
        <v>12.150105734699752</v>
      </c>
      <c r="AV284">
        <f t="shared" si="101"/>
        <v>37.849268616189299</v>
      </c>
      <c r="AW284">
        <f t="shared" si="102"/>
        <v>20.070823479359834</v>
      </c>
      <c r="AX284">
        <f t="shared" si="103"/>
        <v>51.761619346738911</v>
      </c>
      <c r="AY284">
        <f t="shared" si="104"/>
        <v>2551.2844909609898</v>
      </c>
      <c r="AZ284">
        <f t="shared" si="105"/>
        <v>460.91772151898732</v>
      </c>
      <c r="BA284">
        <f t="shared" si="106"/>
        <v>82.5</v>
      </c>
      <c r="BB284" t="s">
        <v>28</v>
      </c>
      <c r="BC284" t="s">
        <v>28</v>
      </c>
      <c r="BD284">
        <v>105.24</v>
      </c>
      <c r="BE284">
        <v>63.2</v>
      </c>
      <c r="BF284">
        <v>11.06</v>
      </c>
      <c r="BG284">
        <v>52.14</v>
      </c>
      <c r="BH284">
        <v>0.21</v>
      </c>
      <c r="BI284">
        <v>347485</v>
      </c>
      <c r="BJ284">
        <v>67532</v>
      </c>
      <c r="BK284">
        <v>90744</v>
      </c>
      <c r="BL284">
        <v>4751</v>
      </c>
      <c r="BM284">
        <v>3189</v>
      </c>
      <c r="BN284">
        <v>29130</v>
      </c>
      <c r="BO284">
        <v>11050</v>
      </c>
      <c r="BP284">
        <v>30166</v>
      </c>
      <c r="BQ284">
        <v>3189</v>
      </c>
      <c r="BR284">
        <v>107256</v>
      </c>
      <c r="BS284" t="s">
        <v>21</v>
      </c>
      <c r="BT284" t="s">
        <v>243</v>
      </c>
      <c r="BU284">
        <v>0</v>
      </c>
      <c r="BV284">
        <v>12.7</v>
      </c>
      <c r="BW284">
        <v>0</v>
      </c>
      <c r="BX284">
        <v>0.3</v>
      </c>
      <c r="BY284">
        <v>109.6</v>
      </c>
      <c r="BZ284">
        <v>146.4</v>
      </c>
      <c r="CA284">
        <v>4</v>
      </c>
      <c r="CB284">
        <v>4</v>
      </c>
      <c r="CC284">
        <v>0</v>
      </c>
      <c r="CD284">
        <f t="shared" si="107"/>
        <v>0.25136612021857929</v>
      </c>
      <c r="CE284">
        <v>1</v>
      </c>
    </row>
    <row r="285" spans="1:83" x14ac:dyDescent="0.4">
      <c r="A285" t="s">
        <v>1232</v>
      </c>
      <c r="B285" t="s">
        <v>19</v>
      </c>
      <c r="C285" t="s">
        <v>19</v>
      </c>
      <c r="D285" t="s">
        <v>19</v>
      </c>
      <c r="E285" t="s">
        <v>69</v>
      </c>
      <c r="F285" t="s">
        <v>22</v>
      </c>
      <c r="G285">
        <v>60</v>
      </c>
      <c r="H285">
        <v>79</v>
      </c>
      <c r="I285">
        <v>74</v>
      </c>
      <c r="J285">
        <f t="shared" si="91"/>
        <v>-14</v>
      </c>
      <c r="K285">
        <f t="shared" si="92"/>
        <v>5</v>
      </c>
      <c r="L285">
        <v>-19</v>
      </c>
      <c r="M285">
        <v>73.790000000000006</v>
      </c>
      <c r="N285" t="s">
        <v>881</v>
      </c>
      <c r="O285" t="s">
        <v>882</v>
      </c>
      <c r="P285" t="s">
        <v>13</v>
      </c>
      <c r="Q285">
        <v>0.1</v>
      </c>
      <c r="R285" t="s">
        <v>13</v>
      </c>
      <c r="S285" t="s">
        <v>15</v>
      </c>
      <c r="T285" t="s">
        <v>14</v>
      </c>
      <c r="U285">
        <v>0</v>
      </c>
      <c r="V285" t="s">
        <v>14</v>
      </c>
      <c r="W285">
        <f t="shared" si="110"/>
        <v>1</v>
      </c>
      <c r="X285" t="s">
        <v>14</v>
      </c>
      <c r="Y285" t="s">
        <v>14</v>
      </c>
      <c r="Z285">
        <v>0</v>
      </c>
      <c r="AA285">
        <f t="shared" si="88"/>
        <v>4508.375209380235</v>
      </c>
      <c r="AB285">
        <f t="shared" si="89"/>
        <v>73.366834170854275</v>
      </c>
      <c r="AC285">
        <f t="shared" si="90"/>
        <v>41.624790619765498</v>
      </c>
      <c r="AD285" t="s">
        <v>15</v>
      </c>
      <c r="AE285" t="s">
        <v>37</v>
      </c>
      <c r="AF285" t="s">
        <v>18</v>
      </c>
      <c r="AG285" t="s">
        <v>17</v>
      </c>
      <c r="AH285" t="s">
        <v>14</v>
      </c>
      <c r="AI285" t="s">
        <v>18</v>
      </c>
      <c r="AJ285" t="s">
        <v>14</v>
      </c>
      <c r="AK285" t="s">
        <v>14</v>
      </c>
      <c r="AL285" t="s">
        <v>14</v>
      </c>
      <c r="AM285">
        <f t="shared" si="109"/>
        <v>56.735159817351601</v>
      </c>
      <c r="AN285">
        <f t="shared" si="93"/>
        <v>5917.5228310502289</v>
      </c>
      <c r="AO285">
        <f t="shared" si="94"/>
        <v>4534.2465753424658</v>
      </c>
      <c r="AP285">
        <f t="shared" si="95"/>
        <v>446.17579908675799</v>
      </c>
      <c r="AQ285">
        <f t="shared" si="96"/>
        <v>730.53652968036533</v>
      </c>
      <c r="AR285">
        <f t="shared" si="97"/>
        <v>937.10045662100458</v>
      </c>
      <c r="AS285">
        <f t="shared" si="98"/>
        <v>23.199329983249584</v>
      </c>
      <c r="AT285">
        <f t="shared" si="99"/>
        <v>31.78391959798995</v>
      </c>
      <c r="AU285">
        <f t="shared" si="100"/>
        <v>3.1685555823486857</v>
      </c>
      <c r="AV285">
        <f t="shared" si="101"/>
        <v>12.345309862551241</v>
      </c>
      <c r="AW285">
        <f t="shared" si="102"/>
        <v>7.5399083674945748</v>
      </c>
      <c r="AX285">
        <f t="shared" si="103"/>
        <v>15.836026042922594</v>
      </c>
      <c r="AY285">
        <f t="shared" si="104"/>
        <v>622.64150943396237</v>
      </c>
      <c r="AZ285">
        <f t="shared" si="105"/>
        <v>187.5</v>
      </c>
      <c r="BA285">
        <f t="shared" si="106"/>
        <v>43.321917808219176</v>
      </c>
      <c r="BB285" t="s">
        <v>50</v>
      </c>
      <c r="BC285" t="s">
        <v>50</v>
      </c>
      <c r="BD285">
        <v>23.88</v>
      </c>
      <c r="BE285">
        <v>17.52</v>
      </c>
      <c r="BF285">
        <v>9.94</v>
      </c>
      <c r="BG285">
        <v>7.59</v>
      </c>
      <c r="BH285">
        <v>5.54</v>
      </c>
      <c r="BI285">
        <v>107660</v>
      </c>
      <c r="BJ285">
        <v>79440</v>
      </c>
      <c r="BK285">
        <v>12799</v>
      </c>
      <c r="BL285">
        <v>1906</v>
      </c>
      <c r="BM285">
        <v>120</v>
      </c>
      <c r="BN285">
        <v>3285</v>
      </c>
      <c r="BO285">
        <v>2506</v>
      </c>
      <c r="BP285">
        <v>1022</v>
      </c>
      <c r="BQ285">
        <v>2597</v>
      </c>
      <c r="BR285">
        <v>3960</v>
      </c>
      <c r="BS285" t="s">
        <v>21</v>
      </c>
      <c r="BT285" t="s">
        <v>880</v>
      </c>
      <c r="BU285">
        <v>0</v>
      </c>
      <c r="BV285">
        <v>0.3</v>
      </c>
      <c r="BW285">
        <v>0</v>
      </c>
      <c r="BX285">
        <v>0.6</v>
      </c>
      <c r="BY285">
        <v>25.6</v>
      </c>
      <c r="BZ285">
        <v>25.8</v>
      </c>
      <c r="CA285">
        <v>7</v>
      </c>
      <c r="CB285">
        <v>7</v>
      </c>
      <c r="CC285">
        <v>0</v>
      </c>
      <c r="CD285">
        <f t="shared" si="107"/>
        <v>7.7519379844961378E-3</v>
      </c>
      <c r="CE285">
        <v>1</v>
      </c>
    </row>
    <row r="286" spans="1:83" x14ac:dyDescent="0.4">
      <c r="A286" t="s">
        <v>1233</v>
      </c>
      <c r="B286" t="s">
        <v>19</v>
      </c>
      <c r="C286" t="s">
        <v>19</v>
      </c>
      <c r="D286" t="s">
        <v>19</v>
      </c>
      <c r="E286" t="s">
        <v>69</v>
      </c>
      <c r="F286" t="s">
        <v>22</v>
      </c>
      <c r="G286">
        <v>30</v>
      </c>
      <c r="H286">
        <v>58</v>
      </c>
      <c r="I286">
        <v>11.5</v>
      </c>
      <c r="J286">
        <f t="shared" si="91"/>
        <v>18.5</v>
      </c>
      <c r="K286">
        <f t="shared" si="92"/>
        <v>46.5</v>
      </c>
      <c r="L286">
        <v>-28</v>
      </c>
      <c r="M286">
        <v>11.56</v>
      </c>
      <c r="N286" t="s">
        <v>883</v>
      </c>
      <c r="O286" t="s">
        <v>884</v>
      </c>
      <c r="P286" t="s">
        <v>13</v>
      </c>
      <c r="Q286">
        <v>0.1</v>
      </c>
      <c r="R286" t="s">
        <v>13</v>
      </c>
      <c r="S286" t="s">
        <v>27</v>
      </c>
      <c r="T286" t="s">
        <v>14</v>
      </c>
      <c r="U286">
        <v>0</v>
      </c>
      <c r="V286" t="s">
        <v>14</v>
      </c>
      <c r="W286">
        <f t="shared" si="110"/>
        <v>0.125</v>
      </c>
      <c r="X286" t="s">
        <v>14</v>
      </c>
      <c r="Y286" t="s">
        <v>14</v>
      </c>
      <c r="Z286">
        <v>0</v>
      </c>
      <c r="AA286">
        <f t="shared" si="88"/>
        <v>3303.0845771144277</v>
      </c>
      <c r="AB286">
        <f t="shared" si="89"/>
        <v>26.06965174129353</v>
      </c>
      <c r="AC286">
        <f t="shared" si="90"/>
        <v>7.4626865671641784</v>
      </c>
      <c r="AD286" t="s">
        <v>15</v>
      </c>
      <c r="AE286" t="s">
        <v>27</v>
      </c>
      <c r="AF286" t="s">
        <v>24</v>
      </c>
      <c r="AG286" t="s">
        <v>14</v>
      </c>
      <c r="AH286" t="s">
        <v>14</v>
      </c>
      <c r="AI286" t="s">
        <v>18</v>
      </c>
      <c r="AJ286" t="s">
        <v>14</v>
      </c>
      <c r="AK286" t="s">
        <v>14</v>
      </c>
      <c r="AL286" t="s">
        <v>14</v>
      </c>
      <c r="AM286">
        <f t="shared" si="109"/>
        <v>28.625954198473281</v>
      </c>
      <c r="AN286">
        <f t="shared" si="93"/>
        <v>3727.480916030534</v>
      </c>
      <c r="AO286">
        <f t="shared" si="94"/>
        <v>1464.885496183206</v>
      </c>
      <c r="AP286">
        <f t="shared" si="95"/>
        <v>615.64885496183206</v>
      </c>
      <c r="AQ286">
        <f t="shared" si="96"/>
        <v>1518.7022900763359</v>
      </c>
      <c r="AR286">
        <f t="shared" si="97"/>
        <v>1646.9465648854962</v>
      </c>
      <c r="AS286">
        <f t="shared" si="98"/>
        <v>3.1840796019900495</v>
      </c>
      <c r="AT286">
        <f t="shared" si="99"/>
        <v>18.606965174129353</v>
      </c>
      <c r="AU286">
        <f t="shared" si="100"/>
        <v>8.9494163424124515</v>
      </c>
      <c r="AV286">
        <f t="shared" si="101"/>
        <v>40.743395453614582</v>
      </c>
      <c r="AW286">
        <f t="shared" si="102"/>
        <v>16.516485766946548</v>
      </c>
      <c r="AX286">
        <f t="shared" si="103"/>
        <v>44.183903338111818</v>
      </c>
      <c r="AY286">
        <f t="shared" si="104"/>
        <v>3151.8169582772543</v>
      </c>
      <c r="AZ286">
        <f t="shared" si="105"/>
        <v>333.58778625954199</v>
      </c>
      <c r="BA286">
        <f t="shared" si="106"/>
        <v>71.374045801526719</v>
      </c>
      <c r="BB286" t="s">
        <v>48</v>
      </c>
      <c r="BC286" t="s">
        <v>16</v>
      </c>
      <c r="BD286">
        <v>10.050000000000001</v>
      </c>
      <c r="BE286">
        <v>2.62</v>
      </c>
      <c r="BF286">
        <v>0.75</v>
      </c>
      <c r="BG286">
        <v>1.87</v>
      </c>
      <c r="BH286">
        <v>0.32</v>
      </c>
      <c r="BI286">
        <v>33196</v>
      </c>
      <c r="BJ286">
        <v>3838</v>
      </c>
      <c r="BK286">
        <v>3979</v>
      </c>
      <c r="BL286">
        <v>445</v>
      </c>
      <c r="BM286">
        <v>54</v>
      </c>
      <c r="BN286">
        <v>874</v>
      </c>
      <c r="BO286">
        <v>240</v>
      </c>
      <c r="BP286">
        <v>182</v>
      </c>
      <c r="BQ286">
        <v>154</v>
      </c>
      <c r="BR286">
        <v>23418</v>
      </c>
      <c r="BS286" t="s">
        <v>21</v>
      </c>
      <c r="BT286" t="s">
        <v>382</v>
      </c>
      <c r="BU286">
        <v>0</v>
      </c>
      <c r="BV286">
        <v>0.2</v>
      </c>
      <c r="BW286">
        <v>0</v>
      </c>
      <c r="BX286">
        <v>0.1</v>
      </c>
      <c r="BY286">
        <v>11.8</v>
      </c>
      <c r="BZ286">
        <v>11.8</v>
      </c>
      <c r="CA286">
        <v>8</v>
      </c>
      <c r="CB286">
        <v>1</v>
      </c>
      <c r="CC286">
        <v>0</v>
      </c>
      <c r="CD286">
        <f t="shared" si="107"/>
        <v>0</v>
      </c>
      <c r="CE286">
        <v>0.125</v>
      </c>
    </row>
    <row r="287" spans="1:83" x14ac:dyDescent="0.4">
      <c r="A287" t="s">
        <v>1234</v>
      </c>
      <c r="B287" t="s">
        <v>19</v>
      </c>
      <c r="C287" t="s">
        <v>19</v>
      </c>
      <c r="D287" t="s">
        <v>19</v>
      </c>
      <c r="E287" t="s">
        <v>69</v>
      </c>
      <c r="F287" t="s">
        <v>22</v>
      </c>
      <c r="G287">
        <v>50</v>
      </c>
      <c r="H287">
        <v>76</v>
      </c>
      <c r="I287">
        <v>72</v>
      </c>
      <c r="J287">
        <f t="shared" si="91"/>
        <v>-22</v>
      </c>
      <c r="K287">
        <f t="shared" si="92"/>
        <v>4</v>
      </c>
      <c r="L287">
        <v>-26</v>
      </c>
      <c r="M287">
        <v>71.88</v>
      </c>
      <c r="N287" t="s">
        <v>886</v>
      </c>
      <c r="O287" t="s">
        <v>887</v>
      </c>
      <c r="P287" t="s">
        <v>13</v>
      </c>
      <c r="Q287">
        <v>0.1</v>
      </c>
      <c r="R287" t="s">
        <v>26</v>
      </c>
      <c r="S287" t="s">
        <v>15</v>
      </c>
      <c r="T287" t="s">
        <v>14</v>
      </c>
      <c r="U287">
        <v>5</v>
      </c>
      <c r="V287" t="s">
        <v>14</v>
      </c>
      <c r="W287">
        <f t="shared" si="110"/>
        <v>0.6</v>
      </c>
      <c r="X287" t="s">
        <v>14</v>
      </c>
      <c r="Y287" t="s">
        <v>14</v>
      </c>
      <c r="Z287">
        <v>0</v>
      </c>
      <c r="AA287">
        <f t="shared" si="88"/>
        <v>1432.952182952183</v>
      </c>
      <c r="AB287">
        <f t="shared" si="89"/>
        <v>22.661122661122665</v>
      </c>
      <c r="AC287">
        <f t="shared" si="90"/>
        <v>11.954261954261954</v>
      </c>
      <c r="AD287" t="s">
        <v>15</v>
      </c>
      <c r="AE287" t="s">
        <v>36</v>
      </c>
      <c r="AF287" t="s">
        <v>24</v>
      </c>
      <c r="AG287" t="s">
        <v>14</v>
      </c>
      <c r="AH287" t="s">
        <v>14</v>
      </c>
      <c r="AI287" t="s">
        <v>18</v>
      </c>
      <c r="AJ287" t="s">
        <v>14</v>
      </c>
      <c r="AK287" t="s">
        <v>14</v>
      </c>
      <c r="AL287" t="s">
        <v>14</v>
      </c>
      <c r="AM287">
        <f t="shared" si="109"/>
        <v>52.752293577981639</v>
      </c>
      <c r="AN287">
        <f t="shared" si="93"/>
        <v>6198.1651376146783</v>
      </c>
      <c r="AO287">
        <f t="shared" si="94"/>
        <v>4545.4128440366967</v>
      </c>
      <c r="AP287">
        <f t="shared" si="95"/>
        <v>550</v>
      </c>
      <c r="AQ287">
        <f t="shared" si="96"/>
        <v>881.19266055045864</v>
      </c>
      <c r="AR287">
        <f t="shared" si="97"/>
        <v>1102.7522935779816</v>
      </c>
      <c r="AS287">
        <f t="shared" si="98"/>
        <v>76.819126819126822</v>
      </c>
      <c r="AT287">
        <f t="shared" si="99"/>
        <v>10.706860706860708</v>
      </c>
      <c r="AU287">
        <f t="shared" si="100"/>
        <v>4.8401420959147421</v>
      </c>
      <c r="AV287">
        <f t="shared" si="101"/>
        <v>14.216992303137951</v>
      </c>
      <c r="AW287">
        <f t="shared" si="102"/>
        <v>8.8735938425103615</v>
      </c>
      <c r="AX287">
        <f t="shared" si="103"/>
        <v>17.791592658377738</v>
      </c>
      <c r="AY287">
        <f t="shared" si="104"/>
        <v>35.3494623655914</v>
      </c>
      <c r="AZ287">
        <f t="shared" si="105"/>
        <v>300</v>
      </c>
      <c r="BA287">
        <f t="shared" si="106"/>
        <v>47.247706422018346</v>
      </c>
      <c r="BB287" t="s">
        <v>29</v>
      </c>
      <c r="BC287" t="s">
        <v>30</v>
      </c>
      <c r="BD287">
        <v>9.6199999999999992</v>
      </c>
      <c r="BE287">
        <v>2.1800000000000002</v>
      </c>
      <c r="BF287">
        <v>1.1499999999999999</v>
      </c>
      <c r="BG287">
        <v>1.03</v>
      </c>
      <c r="BH287">
        <v>7.39</v>
      </c>
      <c r="BI287">
        <v>13785</v>
      </c>
      <c r="BJ287">
        <v>9909</v>
      </c>
      <c r="BK287">
        <v>1921</v>
      </c>
      <c r="BL287">
        <v>117</v>
      </c>
      <c r="BM287">
        <v>82</v>
      </c>
      <c r="BN287">
        <v>654</v>
      </c>
      <c r="BO287">
        <v>346</v>
      </c>
      <c r="BP287">
        <v>150</v>
      </c>
      <c r="BQ287">
        <v>333</v>
      </c>
      <c r="BR287">
        <v>263</v>
      </c>
      <c r="BS287" t="s">
        <v>21</v>
      </c>
      <c r="BT287" t="s">
        <v>885</v>
      </c>
      <c r="BU287">
        <v>0</v>
      </c>
      <c r="BV287">
        <v>0</v>
      </c>
      <c r="BW287">
        <v>0</v>
      </c>
      <c r="BX287">
        <v>0.3</v>
      </c>
      <c r="BY287">
        <v>11.7</v>
      </c>
      <c r="BZ287">
        <v>11.7</v>
      </c>
      <c r="CA287">
        <v>5</v>
      </c>
      <c r="CB287">
        <v>3</v>
      </c>
      <c r="CC287">
        <v>0</v>
      </c>
      <c r="CD287">
        <f t="shared" si="107"/>
        <v>0</v>
      </c>
      <c r="CE287">
        <v>0.6</v>
      </c>
    </row>
    <row r="288" spans="1:83" x14ac:dyDescent="0.4">
      <c r="A288" t="s">
        <v>1235</v>
      </c>
      <c r="B288" t="s">
        <v>69</v>
      </c>
      <c r="C288" t="s">
        <v>73</v>
      </c>
      <c r="D288" t="s">
        <v>82</v>
      </c>
      <c r="E288" t="s">
        <v>69</v>
      </c>
      <c r="F288" t="s">
        <v>12</v>
      </c>
      <c r="G288">
        <v>70</v>
      </c>
      <c r="H288">
        <v>67</v>
      </c>
      <c r="I288">
        <v>36</v>
      </c>
      <c r="J288">
        <f t="shared" si="91"/>
        <v>34</v>
      </c>
      <c r="K288">
        <f t="shared" si="92"/>
        <v>31</v>
      </c>
      <c r="L288">
        <v>3</v>
      </c>
      <c r="M288">
        <v>36.21</v>
      </c>
      <c r="N288" t="s">
        <v>889</v>
      </c>
      <c r="O288" t="s">
        <v>890</v>
      </c>
      <c r="P288" t="s">
        <v>13</v>
      </c>
      <c r="Q288">
        <v>0.1</v>
      </c>
      <c r="R288" t="s">
        <v>26</v>
      </c>
      <c r="S288" t="s">
        <v>35</v>
      </c>
      <c r="T288" t="s">
        <v>14</v>
      </c>
      <c r="U288">
        <v>0</v>
      </c>
      <c r="V288" t="s">
        <v>14</v>
      </c>
      <c r="W288">
        <f t="shared" si="110"/>
        <v>1</v>
      </c>
      <c r="X288" t="s">
        <v>14</v>
      </c>
      <c r="Y288" t="s">
        <v>14</v>
      </c>
      <c r="Z288">
        <v>10</v>
      </c>
      <c r="AA288">
        <f t="shared" si="88"/>
        <v>2272.7719528178245</v>
      </c>
      <c r="AB288">
        <f t="shared" si="89"/>
        <v>32.871887287024904</v>
      </c>
      <c r="AC288">
        <f t="shared" si="90"/>
        <v>12.25698995194408</v>
      </c>
      <c r="AD288" t="s">
        <v>27</v>
      </c>
      <c r="AE288" t="s">
        <v>27</v>
      </c>
      <c r="AF288" t="s">
        <v>18</v>
      </c>
      <c r="AG288" t="s">
        <v>14</v>
      </c>
      <c r="AH288" t="s">
        <v>14</v>
      </c>
      <c r="AI288" t="s">
        <v>18</v>
      </c>
      <c r="AJ288" t="s">
        <v>14</v>
      </c>
      <c r="AK288" t="s">
        <v>14</v>
      </c>
      <c r="AL288" t="s">
        <v>14</v>
      </c>
      <c r="AM288">
        <f t="shared" si="109"/>
        <v>37.287150095522883</v>
      </c>
      <c r="AN288">
        <f t="shared" si="93"/>
        <v>4060.04651549132</v>
      </c>
      <c r="AO288">
        <f t="shared" si="94"/>
        <v>2503.5966442395547</v>
      </c>
      <c r="AP288">
        <f t="shared" si="95"/>
        <v>514.86834454688926</v>
      </c>
      <c r="AQ288">
        <f t="shared" si="96"/>
        <v>922.29421048259826</v>
      </c>
      <c r="AR288">
        <f t="shared" si="97"/>
        <v>1041.5815267048758</v>
      </c>
      <c r="AS288">
        <f t="shared" si="98"/>
        <v>2.1106378331148972</v>
      </c>
      <c r="AT288">
        <f t="shared" si="99"/>
        <v>20.614897335080819</v>
      </c>
      <c r="AU288">
        <f t="shared" si="100"/>
        <v>5.7102348866279726</v>
      </c>
      <c r="AV288">
        <f t="shared" si="101"/>
        <v>22.716345907948011</v>
      </c>
      <c r="AW288">
        <f t="shared" si="102"/>
        <v>12.681341028541969</v>
      </c>
      <c r="AX288">
        <f t="shared" si="103"/>
        <v>25.654423483343528</v>
      </c>
      <c r="AY288">
        <f t="shared" si="104"/>
        <v>1393.8377059182426</v>
      </c>
      <c r="AZ288">
        <f t="shared" si="105"/>
        <v>231.83819254090872</v>
      </c>
      <c r="BA288">
        <f t="shared" si="106"/>
        <v>62.712849904477117</v>
      </c>
      <c r="BB288" t="s">
        <v>16</v>
      </c>
      <c r="BC288" t="s">
        <v>16</v>
      </c>
      <c r="BD288">
        <v>366.24</v>
      </c>
      <c r="BE288">
        <v>120.39</v>
      </c>
      <c r="BF288">
        <v>44.89</v>
      </c>
      <c r="BG288">
        <v>75.5</v>
      </c>
      <c r="BH288">
        <v>7.73</v>
      </c>
      <c r="BI288">
        <v>832380</v>
      </c>
      <c r="BJ288">
        <v>301408</v>
      </c>
      <c r="BK288">
        <v>111035</v>
      </c>
      <c r="BL288">
        <v>22193</v>
      </c>
      <c r="BM288">
        <v>4148</v>
      </c>
      <c r="BN288">
        <v>27911</v>
      </c>
      <c r="BO288">
        <v>7733</v>
      </c>
      <c r="BP288">
        <v>9341</v>
      </c>
      <c r="BQ288">
        <v>5020</v>
      </c>
      <c r="BR288">
        <v>342675</v>
      </c>
      <c r="BS288" t="s">
        <v>21</v>
      </c>
      <c r="BT288" t="s">
        <v>888</v>
      </c>
      <c r="BU288">
        <v>0</v>
      </c>
      <c r="BV288">
        <v>0.6</v>
      </c>
      <c r="BW288">
        <v>0.1</v>
      </c>
      <c r="BX288">
        <v>0</v>
      </c>
      <c r="BY288">
        <v>454.1</v>
      </c>
      <c r="BZ288">
        <v>457.8</v>
      </c>
      <c r="CA288">
        <v>1</v>
      </c>
      <c r="CB288">
        <v>1</v>
      </c>
      <c r="CC288">
        <v>0</v>
      </c>
      <c r="CD288">
        <f t="shared" si="107"/>
        <v>8.0821319353429066E-3</v>
      </c>
      <c r="CE288">
        <v>1</v>
      </c>
    </row>
    <row r="289" spans="1:83" x14ac:dyDescent="0.4">
      <c r="A289" t="s">
        <v>1236</v>
      </c>
      <c r="B289" t="s">
        <v>43</v>
      </c>
      <c r="C289" t="s">
        <v>82</v>
      </c>
      <c r="D289" t="s">
        <v>82</v>
      </c>
      <c r="E289" t="s">
        <v>69</v>
      </c>
      <c r="F289" t="s">
        <v>22</v>
      </c>
      <c r="G289">
        <v>80</v>
      </c>
      <c r="H289">
        <v>52</v>
      </c>
      <c r="I289">
        <v>42</v>
      </c>
      <c r="J289">
        <f t="shared" si="91"/>
        <v>38</v>
      </c>
      <c r="K289">
        <f t="shared" si="92"/>
        <v>10</v>
      </c>
      <c r="L289">
        <v>28</v>
      </c>
      <c r="M289">
        <v>42.08</v>
      </c>
      <c r="N289" t="s">
        <v>892</v>
      </c>
      <c r="O289" t="s">
        <v>893</v>
      </c>
      <c r="P289" t="s">
        <v>13</v>
      </c>
      <c r="Q289">
        <v>8.4</v>
      </c>
      <c r="R289" t="s">
        <v>26</v>
      </c>
      <c r="S289" t="s">
        <v>35</v>
      </c>
      <c r="T289" t="s">
        <v>14</v>
      </c>
      <c r="U289">
        <v>5</v>
      </c>
      <c r="V289" t="s">
        <v>14</v>
      </c>
      <c r="W289">
        <f t="shared" si="110"/>
        <v>0.125</v>
      </c>
      <c r="X289" t="s">
        <v>14</v>
      </c>
      <c r="Y289" t="s">
        <v>14</v>
      </c>
      <c r="Z289">
        <v>0</v>
      </c>
      <c r="AA289">
        <f t="shared" si="88"/>
        <v>1367.6118552294099</v>
      </c>
      <c r="AB289">
        <f t="shared" si="89"/>
        <v>32.217155884867481</v>
      </c>
      <c r="AC289">
        <f t="shared" si="90"/>
        <v>19.549729267597606</v>
      </c>
      <c r="AD289" t="s">
        <v>15</v>
      </c>
      <c r="AE289" t="s">
        <v>27</v>
      </c>
      <c r="AF289" t="s">
        <v>18</v>
      </c>
      <c r="AG289" t="s">
        <v>14</v>
      </c>
      <c r="AH289" t="s">
        <v>14</v>
      </c>
      <c r="AI289" t="s">
        <v>14</v>
      </c>
      <c r="AJ289" t="s">
        <v>14</v>
      </c>
      <c r="AK289" t="s">
        <v>14</v>
      </c>
      <c r="AL289" t="s">
        <v>14</v>
      </c>
      <c r="AM289">
        <f t="shared" si="109"/>
        <v>60.681114551083596</v>
      </c>
      <c r="AN289">
        <f t="shared" si="93"/>
        <v>2959.9292348518356</v>
      </c>
      <c r="AO289">
        <f t="shared" si="94"/>
        <v>1786.4219371959312</v>
      </c>
      <c r="AP289">
        <f t="shared" si="95"/>
        <v>427.9964617425918</v>
      </c>
      <c r="AQ289">
        <f t="shared" si="96"/>
        <v>280.31844316674039</v>
      </c>
      <c r="AR289">
        <f t="shared" si="97"/>
        <v>745.51083591331269</v>
      </c>
      <c r="AS289">
        <f t="shared" si="98"/>
        <v>10.259333143345682</v>
      </c>
      <c r="AT289">
        <f t="shared" si="99"/>
        <v>12.681675691080079</v>
      </c>
      <c r="AU289">
        <f t="shared" si="100"/>
        <v>6.8032394955471878</v>
      </c>
      <c r="AV289">
        <f t="shared" si="101"/>
        <v>9.4704440858287011</v>
      </c>
      <c r="AW289">
        <f t="shared" si="102"/>
        <v>14.459685613531768</v>
      </c>
      <c r="AX289">
        <f t="shared" si="103"/>
        <v>25.186779032932879</v>
      </c>
      <c r="AY289">
        <f t="shared" si="104"/>
        <v>608.51376918225765</v>
      </c>
      <c r="AZ289">
        <f t="shared" si="105"/>
        <v>201.37107474568776</v>
      </c>
      <c r="BA289">
        <f t="shared" si="106"/>
        <v>39.36311366651924</v>
      </c>
      <c r="BB289" t="s">
        <v>48</v>
      </c>
      <c r="BC289" t="s">
        <v>16</v>
      </c>
      <c r="BD289">
        <v>70.180000000000007</v>
      </c>
      <c r="BE289">
        <v>22.61</v>
      </c>
      <c r="BF289">
        <v>13.72</v>
      </c>
      <c r="BG289">
        <v>8.9</v>
      </c>
      <c r="BH289">
        <v>7.2</v>
      </c>
      <c r="BI289">
        <v>95979</v>
      </c>
      <c r="BJ289">
        <v>40391</v>
      </c>
      <c r="BK289">
        <v>6338</v>
      </c>
      <c r="BL289">
        <v>2506</v>
      </c>
      <c r="BM289">
        <v>1633</v>
      </c>
      <c r="BN289">
        <v>4553</v>
      </c>
      <c r="BO289">
        <v>985</v>
      </c>
      <c r="BP289">
        <v>2188</v>
      </c>
      <c r="BQ289">
        <v>8330</v>
      </c>
      <c r="BR289">
        <v>28947</v>
      </c>
      <c r="BS289" t="s">
        <v>21</v>
      </c>
      <c r="BT289" t="s">
        <v>891</v>
      </c>
      <c r="BU289">
        <v>0</v>
      </c>
      <c r="BV289">
        <v>8.1</v>
      </c>
      <c r="BW289">
        <v>0</v>
      </c>
      <c r="BX289">
        <v>0.5</v>
      </c>
      <c r="BY289">
        <v>119.8</v>
      </c>
      <c r="BZ289">
        <v>144.4</v>
      </c>
      <c r="CA289">
        <v>8</v>
      </c>
      <c r="CB289">
        <v>1</v>
      </c>
      <c r="CC289">
        <v>0</v>
      </c>
      <c r="CD289">
        <f t="shared" si="107"/>
        <v>0.17036011080332414</v>
      </c>
      <c r="CE289">
        <v>0.125</v>
      </c>
    </row>
    <row r="290" spans="1:83" x14ac:dyDescent="0.4">
      <c r="A290" t="s">
        <v>1237</v>
      </c>
      <c r="B290" t="s">
        <v>69</v>
      </c>
      <c r="C290" t="s">
        <v>73</v>
      </c>
      <c r="D290" t="s">
        <v>82</v>
      </c>
      <c r="E290" t="s">
        <v>69</v>
      </c>
      <c r="F290" t="s">
        <v>12</v>
      </c>
      <c r="G290">
        <v>70</v>
      </c>
      <c r="H290">
        <v>71</v>
      </c>
      <c r="I290">
        <v>47</v>
      </c>
      <c r="J290">
        <f t="shared" si="91"/>
        <v>23</v>
      </c>
      <c r="K290">
        <f t="shared" si="92"/>
        <v>24</v>
      </c>
      <c r="L290">
        <v>-1</v>
      </c>
      <c r="M290">
        <v>47.24</v>
      </c>
      <c r="N290" t="s">
        <v>895</v>
      </c>
      <c r="O290" t="s">
        <v>896</v>
      </c>
      <c r="P290" t="s">
        <v>13</v>
      </c>
      <c r="Q290">
        <v>0.3</v>
      </c>
      <c r="R290" t="s">
        <v>13</v>
      </c>
      <c r="S290" t="s">
        <v>35</v>
      </c>
      <c r="T290" t="s">
        <v>14</v>
      </c>
      <c r="U290">
        <v>0</v>
      </c>
      <c r="V290" t="s">
        <v>14</v>
      </c>
      <c r="W290">
        <f t="shared" si="110"/>
        <v>1</v>
      </c>
      <c r="X290" t="s">
        <v>14</v>
      </c>
      <c r="Y290" t="s">
        <v>14</v>
      </c>
      <c r="Z290">
        <v>0</v>
      </c>
      <c r="AA290">
        <f t="shared" si="88"/>
        <v>3867.390595270454</v>
      </c>
      <c r="AB290">
        <f t="shared" si="89"/>
        <v>50.399565099211749</v>
      </c>
      <c r="AC290">
        <f t="shared" si="90"/>
        <v>24.941560206577876</v>
      </c>
      <c r="AD290" t="s">
        <v>27</v>
      </c>
      <c r="AE290" t="s">
        <v>27</v>
      </c>
      <c r="AF290" t="s">
        <v>18</v>
      </c>
      <c r="AG290" t="s">
        <v>14</v>
      </c>
      <c r="AH290" t="s">
        <v>17</v>
      </c>
      <c r="AI290" t="s">
        <v>18</v>
      </c>
      <c r="AJ290" t="s">
        <v>14</v>
      </c>
      <c r="AK290" t="s">
        <v>14</v>
      </c>
      <c r="AL290" t="s">
        <v>17</v>
      </c>
      <c r="AM290">
        <f t="shared" si="109"/>
        <v>49.487649660230829</v>
      </c>
      <c r="AN290">
        <f t="shared" si="93"/>
        <v>5584.1926437277534</v>
      </c>
      <c r="AO290">
        <f t="shared" si="94"/>
        <v>3624.943371804552</v>
      </c>
      <c r="AP290">
        <f t="shared" si="95"/>
        <v>653.11185416891385</v>
      </c>
      <c r="AQ290">
        <f t="shared" si="96"/>
        <v>1173.5087908531982</v>
      </c>
      <c r="AR290">
        <f t="shared" si="97"/>
        <v>1306.1374177542878</v>
      </c>
      <c r="AS290">
        <f t="shared" si="98"/>
        <v>1.6933949442783367</v>
      </c>
      <c r="AT290">
        <f t="shared" si="99"/>
        <v>25.45800489263387</v>
      </c>
      <c r="AU290">
        <f t="shared" si="100"/>
        <v>8.5678192735128995</v>
      </c>
      <c r="AV290">
        <f t="shared" si="101"/>
        <v>21.014833579770933</v>
      </c>
      <c r="AW290">
        <f t="shared" si="102"/>
        <v>11.695725699980974</v>
      </c>
      <c r="AX290">
        <f t="shared" si="103"/>
        <v>23.389906134799276</v>
      </c>
      <c r="AY290">
        <f t="shared" si="104"/>
        <v>2105.1950898728628</v>
      </c>
      <c r="AZ290">
        <f t="shared" si="105"/>
        <v>478.44353359939601</v>
      </c>
      <c r="BA290">
        <f t="shared" si="106"/>
        <v>50.512350339769178</v>
      </c>
      <c r="BB290" t="s">
        <v>16</v>
      </c>
      <c r="BC290" t="s">
        <v>16</v>
      </c>
      <c r="BD290">
        <v>367.9</v>
      </c>
      <c r="BE290">
        <v>185.42</v>
      </c>
      <c r="BF290">
        <v>91.76</v>
      </c>
      <c r="BG290">
        <v>93.66</v>
      </c>
      <c r="BH290">
        <v>6.23</v>
      </c>
      <c r="BI290">
        <v>1422813</v>
      </c>
      <c r="BJ290">
        <v>672137</v>
      </c>
      <c r="BK290">
        <v>217592</v>
      </c>
      <c r="BL290">
        <v>18531</v>
      </c>
      <c r="BM290">
        <v>9610</v>
      </c>
      <c r="BN290">
        <v>88713</v>
      </c>
      <c r="BO290">
        <v>4246</v>
      </c>
      <c r="BP290">
        <v>12661</v>
      </c>
      <c r="BQ290">
        <v>11931</v>
      </c>
      <c r="BR290">
        <v>384156</v>
      </c>
      <c r="BS290" t="s">
        <v>21</v>
      </c>
      <c r="BT290" t="s">
        <v>894</v>
      </c>
      <c r="BU290">
        <v>0</v>
      </c>
      <c r="BV290">
        <v>0.2</v>
      </c>
      <c r="BW290">
        <v>0</v>
      </c>
      <c r="BX290">
        <v>0.1</v>
      </c>
      <c r="BY290">
        <v>403.4</v>
      </c>
      <c r="BZ290">
        <v>405.7</v>
      </c>
      <c r="CA290">
        <v>1</v>
      </c>
      <c r="CB290">
        <v>1</v>
      </c>
      <c r="CC290">
        <v>0</v>
      </c>
      <c r="CD290">
        <f t="shared" si="107"/>
        <v>5.6692137047079649E-3</v>
      </c>
      <c r="CE290">
        <v>1</v>
      </c>
    </row>
    <row r="291" spans="1:83" x14ac:dyDescent="0.4">
      <c r="A291" t="s">
        <v>1238</v>
      </c>
      <c r="B291" t="s">
        <v>19</v>
      </c>
      <c r="C291" t="s">
        <v>19</v>
      </c>
      <c r="D291" t="s">
        <v>19</v>
      </c>
      <c r="E291" t="s">
        <v>69</v>
      </c>
      <c r="F291" t="s">
        <v>22</v>
      </c>
      <c r="G291">
        <v>30</v>
      </c>
      <c r="H291">
        <v>69</v>
      </c>
      <c r="I291">
        <v>46.5</v>
      </c>
      <c r="J291">
        <f t="shared" si="91"/>
        <v>-16.5</v>
      </c>
      <c r="K291">
        <f t="shared" si="92"/>
        <v>22.5</v>
      </c>
      <c r="L291">
        <v>-39</v>
      </c>
      <c r="M291">
        <v>46.39</v>
      </c>
      <c r="N291" t="s">
        <v>897</v>
      </c>
      <c r="O291" t="s">
        <v>898</v>
      </c>
      <c r="P291" t="s">
        <v>13</v>
      </c>
      <c r="Q291">
        <v>0.1</v>
      </c>
      <c r="R291" t="s">
        <v>13</v>
      </c>
      <c r="S291" t="s">
        <v>15</v>
      </c>
      <c r="T291" t="s">
        <v>14</v>
      </c>
      <c r="U291">
        <v>0</v>
      </c>
      <c r="V291" t="s">
        <v>14</v>
      </c>
      <c r="W291">
        <f t="shared" si="110"/>
        <v>1</v>
      </c>
      <c r="X291" t="s">
        <v>14</v>
      </c>
      <c r="Y291" t="s">
        <v>14</v>
      </c>
      <c r="Z291">
        <v>0</v>
      </c>
      <c r="AA291">
        <f t="shared" si="88"/>
        <v>3252.3565573770493</v>
      </c>
      <c r="AB291">
        <f t="shared" si="89"/>
        <v>57.069672131147541</v>
      </c>
      <c r="AC291">
        <f t="shared" si="90"/>
        <v>19.159836065573771</v>
      </c>
      <c r="AD291" t="s">
        <v>15</v>
      </c>
      <c r="AE291" t="s">
        <v>37</v>
      </c>
      <c r="AF291" t="s">
        <v>24</v>
      </c>
      <c r="AG291" t="s">
        <v>14</v>
      </c>
      <c r="AH291" t="s">
        <v>14</v>
      </c>
      <c r="AI291" t="s">
        <v>18</v>
      </c>
      <c r="AJ291" t="s">
        <v>14</v>
      </c>
      <c r="AK291" t="s">
        <v>14</v>
      </c>
      <c r="AL291" t="s">
        <v>14</v>
      </c>
      <c r="AM291">
        <f t="shared" si="109"/>
        <v>33.572710951526034</v>
      </c>
      <c r="AN291">
        <f t="shared" si="93"/>
        <v>4281.5080789946142</v>
      </c>
      <c r="AO291">
        <f t="shared" si="94"/>
        <v>2643.806104129264</v>
      </c>
      <c r="AP291">
        <f t="shared" si="95"/>
        <v>423.15978456014358</v>
      </c>
      <c r="AQ291">
        <f t="shared" si="96"/>
        <v>1102.1543985637343</v>
      </c>
      <c r="AR291">
        <f t="shared" si="97"/>
        <v>1214.5421903052063</v>
      </c>
      <c r="AS291">
        <f t="shared" si="98"/>
        <v>21.516393442622952</v>
      </c>
      <c r="AT291">
        <f t="shared" si="99"/>
        <v>37.909836065573771</v>
      </c>
      <c r="AU291">
        <f t="shared" si="100"/>
        <v>6.0885608856088558</v>
      </c>
      <c r="AV291">
        <f t="shared" si="101"/>
        <v>25.742200603824219</v>
      </c>
      <c r="AW291">
        <f t="shared" si="102"/>
        <v>9.8834283797383424</v>
      </c>
      <c r="AX291">
        <f t="shared" si="103"/>
        <v>28.367158671586715</v>
      </c>
      <c r="AY291">
        <f t="shared" si="104"/>
        <v>1869.9284009546541</v>
      </c>
      <c r="AZ291">
        <f t="shared" si="105"/>
        <v>260.68222621184918</v>
      </c>
      <c r="BA291">
        <f t="shared" si="106"/>
        <v>66.427289048473966</v>
      </c>
      <c r="BB291" t="s">
        <v>29</v>
      </c>
      <c r="BC291" t="s">
        <v>29</v>
      </c>
      <c r="BD291">
        <v>9.76</v>
      </c>
      <c r="BE291">
        <v>5.57</v>
      </c>
      <c r="BF291">
        <v>1.87</v>
      </c>
      <c r="BG291">
        <v>3.7</v>
      </c>
      <c r="BH291">
        <v>2.1</v>
      </c>
      <c r="BI291">
        <v>31743</v>
      </c>
      <c r="BJ291">
        <v>14726</v>
      </c>
      <c r="BK291">
        <v>6139</v>
      </c>
      <c r="BL291">
        <v>387</v>
      </c>
      <c r="BM291">
        <v>116</v>
      </c>
      <c r="BN291">
        <v>1452</v>
      </c>
      <c r="BO291">
        <v>402</v>
      </c>
      <c r="BP291">
        <v>393</v>
      </c>
      <c r="BQ291">
        <v>233</v>
      </c>
      <c r="BR291">
        <v>7835</v>
      </c>
      <c r="BS291" t="s">
        <v>21</v>
      </c>
      <c r="BT291" t="s">
        <v>571</v>
      </c>
      <c r="BU291">
        <v>0</v>
      </c>
      <c r="BV291">
        <v>0.1</v>
      </c>
      <c r="BW291">
        <v>0</v>
      </c>
      <c r="BX291">
        <v>0</v>
      </c>
      <c r="BY291">
        <v>10.4</v>
      </c>
      <c r="BZ291">
        <v>10.5</v>
      </c>
      <c r="CA291">
        <v>5</v>
      </c>
      <c r="CB291">
        <v>5</v>
      </c>
      <c r="CC291">
        <v>0</v>
      </c>
      <c r="CD291">
        <f t="shared" si="107"/>
        <v>9.52380952380949E-3</v>
      </c>
      <c r="CE291">
        <v>1</v>
      </c>
    </row>
    <row r="292" spans="1:83" x14ac:dyDescent="0.4">
      <c r="A292" t="s">
        <v>1239</v>
      </c>
      <c r="B292" t="s">
        <v>69</v>
      </c>
      <c r="C292" t="s">
        <v>73</v>
      </c>
      <c r="D292" t="s">
        <v>82</v>
      </c>
      <c r="E292" t="s">
        <v>69</v>
      </c>
      <c r="F292" t="s">
        <v>12</v>
      </c>
      <c r="G292">
        <v>20</v>
      </c>
      <c r="H292">
        <v>36</v>
      </c>
      <c r="I292">
        <v>32.5</v>
      </c>
      <c r="J292">
        <f t="shared" si="91"/>
        <v>-12.5</v>
      </c>
      <c r="K292">
        <f t="shared" si="92"/>
        <v>3.5</v>
      </c>
      <c r="L292">
        <v>-16</v>
      </c>
      <c r="M292">
        <v>32.700000000000003</v>
      </c>
      <c r="N292" t="s">
        <v>900</v>
      </c>
      <c r="O292" t="s">
        <v>901</v>
      </c>
      <c r="P292" t="s">
        <v>13</v>
      </c>
      <c r="Q292">
        <v>0.1</v>
      </c>
      <c r="R292" t="s">
        <v>13</v>
      </c>
      <c r="S292" t="s">
        <v>15</v>
      </c>
      <c r="T292" t="s">
        <v>14</v>
      </c>
      <c r="U292">
        <v>0</v>
      </c>
      <c r="V292" t="s">
        <v>14</v>
      </c>
      <c r="W292">
        <f t="shared" si="110"/>
        <v>1</v>
      </c>
      <c r="X292" t="s">
        <v>14</v>
      </c>
      <c r="Y292" t="s">
        <v>14</v>
      </c>
      <c r="Z292">
        <v>0</v>
      </c>
      <c r="AA292">
        <f t="shared" si="88"/>
        <v>2809.339952197095</v>
      </c>
      <c r="AB292">
        <f t="shared" si="89"/>
        <v>54.892443463872034</v>
      </c>
      <c r="AC292">
        <f t="shared" si="90"/>
        <v>16.760433903291048</v>
      </c>
      <c r="AD292" t="s">
        <v>15</v>
      </c>
      <c r="AE292" t="s">
        <v>37</v>
      </c>
      <c r="AF292" t="s">
        <v>24</v>
      </c>
      <c r="AG292" t="s">
        <v>17</v>
      </c>
      <c r="AH292" t="s">
        <v>14</v>
      </c>
      <c r="AI292" t="s">
        <v>41</v>
      </c>
      <c r="AJ292" t="s">
        <v>14</v>
      </c>
      <c r="AK292" t="s">
        <v>14</v>
      </c>
      <c r="AL292" t="s">
        <v>14</v>
      </c>
      <c r="AM292">
        <f t="shared" si="109"/>
        <v>30.533226152197212</v>
      </c>
      <c r="AN292">
        <f t="shared" si="93"/>
        <v>3744.5806538049301</v>
      </c>
      <c r="AO292">
        <f t="shared" si="94"/>
        <v>1673.3922829581993</v>
      </c>
      <c r="AP292">
        <f t="shared" si="95"/>
        <v>748.45257234726682</v>
      </c>
      <c r="AQ292">
        <f t="shared" si="96"/>
        <v>1087.3727224008574</v>
      </c>
      <c r="AR292">
        <f t="shared" si="97"/>
        <v>1322.7357984994642</v>
      </c>
      <c r="AS292">
        <f t="shared" si="98"/>
        <v>10.358521787093217</v>
      </c>
      <c r="AT292">
        <f t="shared" si="99"/>
        <v>38.128332414046703</v>
      </c>
      <c r="AU292">
        <f t="shared" si="100"/>
        <v>7.7521820565984072</v>
      </c>
      <c r="AV292">
        <f t="shared" si="101"/>
        <v>29.038571282900797</v>
      </c>
      <c r="AW292">
        <f t="shared" si="102"/>
        <v>19.987620552030354</v>
      </c>
      <c r="AX292">
        <f t="shared" si="103"/>
        <v>35.324003427604381</v>
      </c>
      <c r="AY292">
        <f t="shared" si="104"/>
        <v>1634.2055922393415</v>
      </c>
      <c r="AZ292">
        <f t="shared" si="105"/>
        <v>290.28670953912109</v>
      </c>
      <c r="BA292">
        <f t="shared" si="106"/>
        <v>69.46007502679528</v>
      </c>
      <c r="BB292" t="s">
        <v>16</v>
      </c>
      <c r="BC292" t="s">
        <v>16</v>
      </c>
      <c r="BD292">
        <v>271.95</v>
      </c>
      <c r="BE292">
        <v>149.28</v>
      </c>
      <c r="BF292">
        <v>45.58</v>
      </c>
      <c r="BG292">
        <v>103.69</v>
      </c>
      <c r="BH292">
        <v>28.17</v>
      </c>
      <c r="BI292">
        <v>764000</v>
      </c>
      <c r="BJ292">
        <v>249804</v>
      </c>
      <c r="BK292">
        <v>162323</v>
      </c>
      <c r="BL292">
        <v>12971</v>
      </c>
      <c r="BM292">
        <v>7546</v>
      </c>
      <c r="BN292">
        <v>43334</v>
      </c>
      <c r="BO292">
        <v>47878</v>
      </c>
      <c r="BP292">
        <v>24519</v>
      </c>
      <c r="BQ292">
        <v>10616</v>
      </c>
      <c r="BR292">
        <v>200468</v>
      </c>
      <c r="BS292" t="s">
        <v>21</v>
      </c>
      <c r="BT292" t="s">
        <v>899</v>
      </c>
      <c r="BU292">
        <v>0</v>
      </c>
      <c r="BV292">
        <v>0</v>
      </c>
      <c r="BW292">
        <v>0.3</v>
      </c>
      <c r="BX292">
        <v>0</v>
      </c>
      <c r="BY292">
        <v>278.5</v>
      </c>
      <c r="BZ292">
        <v>279.7</v>
      </c>
      <c r="CA292">
        <v>1</v>
      </c>
      <c r="CB292">
        <v>1</v>
      </c>
      <c r="CC292">
        <v>0</v>
      </c>
      <c r="CD292">
        <f t="shared" si="107"/>
        <v>4.2903110475509543E-3</v>
      </c>
      <c r="CE292">
        <v>1</v>
      </c>
    </row>
    <row r="293" spans="1:83" x14ac:dyDescent="0.4">
      <c r="A293" t="s">
        <v>1240</v>
      </c>
      <c r="B293" t="s">
        <v>19</v>
      </c>
      <c r="C293" t="s">
        <v>19</v>
      </c>
      <c r="D293" t="s">
        <v>19</v>
      </c>
      <c r="E293" t="s">
        <v>69</v>
      </c>
      <c r="F293" t="s">
        <v>12</v>
      </c>
      <c r="G293">
        <v>40</v>
      </c>
      <c r="H293">
        <v>13</v>
      </c>
      <c r="I293">
        <v>7</v>
      </c>
      <c r="J293">
        <f t="shared" si="91"/>
        <v>33</v>
      </c>
      <c r="K293">
        <f t="shared" si="92"/>
        <v>6</v>
      </c>
      <c r="L293">
        <v>27</v>
      </c>
      <c r="M293">
        <v>7.1</v>
      </c>
      <c r="N293" t="s">
        <v>902</v>
      </c>
      <c r="O293" t="s">
        <v>903</v>
      </c>
      <c r="P293" t="s">
        <v>13</v>
      </c>
      <c r="Q293">
        <v>0.7</v>
      </c>
      <c r="R293" t="s">
        <v>26</v>
      </c>
      <c r="S293" t="s">
        <v>35</v>
      </c>
      <c r="T293" t="s">
        <v>14</v>
      </c>
      <c r="U293">
        <v>2.5</v>
      </c>
      <c r="V293" t="s">
        <v>14</v>
      </c>
      <c r="W293">
        <f t="shared" si="110"/>
        <v>1</v>
      </c>
      <c r="X293" t="s">
        <v>17</v>
      </c>
      <c r="Y293" t="s">
        <v>14</v>
      </c>
      <c r="Z293">
        <v>20</v>
      </c>
      <c r="AA293">
        <f t="shared" si="88"/>
        <v>3215.8465387823189</v>
      </c>
      <c r="AB293">
        <f t="shared" si="89"/>
        <v>25.718401698385019</v>
      </c>
      <c r="AC293">
        <f t="shared" si="90"/>
        <v>18.03017666237016</v>
      </c>
      <c r="AD293" t="s">
        <v>15</v>
      </c>
      <c r="AE293" t="s">
        <v>27</v>
      </c>
      <c r="AF293" t="s">
        <v>24</v>
      </c>
      <c r="AG293" t="s">
        <v>14</v>
      </c>
      <c r="AH293" t="s">
        <v>14</v>
      </c>
      <c r="AI293" t="s">
        <v>24</v>
      </c>
      <c r="AJ293" t="s">
        <v>14</v>
      </c>
      <c r="AK293" t="s">
        <v>14</v>
      </c>
      <c r="AL293" t="s">
        <v>14</v>
      </c>
      <c r="AM293">
        <f t="shared" si="109"/>
        <v>70.106132075471692</v>
      </c>
      <c r="AN293">
        <f t="shared" si="93"/>
        <v>4071.5212264150941</v>
      </c>
      <c r="AO293">
        <f t="shared" si="94"/>
        <v>887.41155660377353</v>
      </c>
      <c r="AP293">
        <f t="shared" si="95"/>
        <v>1223.9681603773583</v>
      </c>
      <c r="AQ293">
        <f t="shared" si="96"/>
        <v>1009.9646226415094</v>
      </c>
      <c r="AR293">
        <f t="shared" si="97"/>
        <v>1960.1415094339623</v>
      </c>
      <c r="AS293">
        <f t="shared" si="98"/>
        <v>1.5088331185078476</v>
      </c>
      <c r="AT293">
        <f t="shared" si="99"/>
        <v>7.6882250360148614</v>
      </c>
      <c r="AU293">
        <f t="shared" si="100"/>
        <v>9.9358463788684048</v>
      </c>
      <c r="AV293">
        <f t="shared" si="101"/>
        <v>24.805584116548157</v>
      </c>
      <c r="AW293">
        <f t="shared" si="102"/>
        <v>30.061691744022706</v>
      </c>
      <c r="AX293">
        <f t="shared" si="103"/>
        <v>48.142730945795257</v>
      </c>
      <c r="AY293">
        <f t="shared" si="104"/>
        <v>2917.8217821782182</v>
      </c>
      <c r="AZ293">
        <f t="shared" si="105"/>
        <v>404.54009433962261</v>
      </c>
      <c r="BA293">
        <f t="shared" si="106"/>
        <v>29.893867924528301</v>
      </c>
      <c r="BB293" t="s">
        <v>28</v>
      </c>
      <c r="BC293" t="s">
        <v>28</v>
      </c>
      <c r="BD293">
        <v>131.88999999999999</v>
      </c>
      <c r="BE293">
        <v>33.92</v>
      </c>
      <c r="BF293">
        <v>23.78</v>
      </c>
      <c r="BG293">
        <v>10.14</v>
      </c>
      <c r="BH293">
        <v>1.99</v>
      </c>
      <c r="BI293">
        <v>424138</v>
      </c>
      <c r="BJ293">
        <v>30101</v>
      </c>
      <c r="BK293">
        <v>34258</v>
      </c>
      <c r="BL293">
        <v>7311</v>
      </c>
      <c r="BM293">
        <v>1520</v>
      </c>
      <c r="BN293">
        <v>13722</v>
      </c>
      <c r="BO293">
        <v>18964</v>
      </c>
      <c r="BP293">
        <v>8225</v>
      </c>
      <c r="BQ293">
        <v>24005</v>
      </c>
      <c r="BR293">
        <v>285859</v>
      </c>
      <c r="BS293" t="s">
        <v>21</v>
      </c>
      <c r="BT293" t="s">
        <v>156</v>
      </c>
      <c r="BU293">
        <v>0</v>
      </c>
      <c r="BV293">
        <v>1.2</v>
      </c>
      <c r="BW293">
        <v>10</v>
      </c>
      <c r="BX293">
        <v>0.5</v>
      </c>
      <c r="BY293">
        <v>145.19999999999999</v>
      </c>
      <c r="BZ293">
        <v>165.8</v>
      </c>
      <c r="CA293">
        <v>4</v>
      </c>
      <c r="CB293">
        <v>4</v>
      </c>
      <c r="CC293">
        <v>0</v>
      </c>
      <c r="CD293">
        <f t="shared" si="107"/>
        <v>0.12424607961399292</v>
      </c>
      <c r="CE293">
        <v>1</v>
      </c>
    </row>
    <row r="294" spans="1:83" x14ac:dyDescent="0.4">
      <c r="A294" t="s">
        <v>1241</v>
      </c>
      <c r="B294" t="s">
        <v>69</v>
      </c>
      <c r="C294" t="s">
        <v>73</v>
      </c>
      <c r="D294" t="s">
        <v>82</v>
      </c>
      <c r="E294" t="s">
        <v>69</v>
      </c>
      <c r="F294" t="s">
        <v>22</v>
      </c>
      <c r="G294">
        <v>30</v>
      </c>
      <c r="H294">
        <v>41</v>
      </c>
      <c r="I294">
        <v>22</v>
      </c>
      <c r="J294">
        <f t="shared" si="91"/>
        <v>8</v>
      </c>
      <c r="K294">
        <f t="shared" si="92"/>
        <v>19</v>
      </c>
      <c r="L294">
        <v>-11</v>
      </c>
      <c r="M294">
        <v>22.08</v>
      </c>
      <c r="N294" t="s">
        <v>905</v>
      </c>
      <c r="O294" t="s">
        <v>906</v>
      </c>
      <c r="P294" t="s">
        <v>13</v>
      </c>
      <c r="Q294">
        <v>0.3</v>
      </c>
      <c r="R294" t="s">
        <v>13</v>
      </c>
      <c r="S294" t="s">
        <v>15</v>
      </c>
      <c r="T294" t="s">
        <v>14</v>
      </c>
      <c r="U294">
        <v>2.5</v>
      </c>
      <c r="V294" t="s">
        <v>14</v>
      </c>
      <c r="W294" t="s">
        <v>52</v>
      </c>
      <c r="X294" t="s">
        <v>14</v>
      </c>
      <c r="Y294" t="s">
        <v>17</v>
      </c>
      <c r="Z294">
        <v>0</v>
      </c>
      <c r="AA294">
        <f t="shared" si="88"/>
        <v>4827.709221449405</v>
      </c>
      <c r="AB294">
        <f t="shared" si="89"/>
        <v>23.244334754319048</v>
      </c>
      <c r="AC294">
        <f t="shared" si="90"/>
        <v>14.695983845636079</v>
      </c>
      <c r="AD294" t="s">
        <v>15</v>
      </c>
      <c r="AE294" t="s">
        <v>15</v>
      </c>
      <c r="AF294" t="s">
        <v>18</v>
      </c>
      <c r="AG294" t="s">
        <v>17</v>
      </c>
      <c r="AH294" t="s">
        <v>17</v>
      </c>
      <c r="AI294" t="s">
        <v>24</v>
      </c>
      <c r="AJ294" t="s">
        <v>14</v>
      </c>
      <c r="AK294" t="s">
        <v>17</v>
      </c>
      <c r="AL294" t="s">
        <v>14</v>
      </c>
      <c r="AM294">
        <f t="shared" si="109"/>
        <v>63.223938223938227</v>
      </c>
      <c r="AN294">
        <f t="shared" si="93"/>
        <v>7129.1505791505797</v>
      </c>
      <c r="AO294">
        <f t="shared" si="94"/>
        <v>4585.2316602316605</v>
      </c>
      <c r="AP294">
        <f t="shared" si="95"/>
        <v>1871.1872586872587</v>
      </c>
      <c r="AQ294">
        <f t="shared" si="96"/>
        <v>253.81274131274134</v>
      </c>
      <c r="AR294">
        <f t="shared" si="97"/>
        <v>672.73166023166027</v>
      </c>
      <c r="AS294">
        <f t="shared" si="98"/>
        <v>10.39937177473637</v>
      </c>
      <c r="AT294">
        <f t="shared" si="99"/>
        <v>8.5483509086829699</v>
      </c>
      <c r="AU294">
        <f t="shared" si="100"/>
        <v>11.811855181564624</v>
      </c>
      <c r="AV294">
        <f t="shared" si="101"/>
        <v>3.5602101329578382</v>
      </c>
      <c r="AW294">
        <f t="shared" si="102"/>
        <v>26.246987462427903</v>
      </c>
      <c r="AX294">
        <f t="shared" si="103"/>
        <v>9.4363508353868237</v>
      </c>
      <c r="AY294">
        <f t="shared" si="104"/>
        <v>4105.0423852674658</v>
      </c>
      <c r="AZ294">
        <f t="shared" si="105"/>
        <v>842.0849420849421</v>
      </c>
      <c r="BA294">
        <f t="shared" si="106"/>
        <v>36.776061776061781</v>
      </c>
      <c r="BB294" t="s">
        <v>52</v>
      </c>
      <c r="BC294" t="s">
        <v>52</v>
      </c>
      <c r="BD294">
        <v>89.14</v>
      </c>
      <c r="BE294">
        <v>20.72</v>
      </c>
      <c r="BF294">
        <v>13.1</v>
      </c>
      <c r="BG294">
        <v>7.62</v>
      </c>
      <c r="BH294">
        <v>9.27</v>
      </c>
      <c r="BI294">
        <v>430342</v>
      </c>
      <c r="BJ294">
        <v>95006</v>
      </c>
      <c r="BK294">
        <v>5259</v>
      </c>
      <c r="BL294">
        <v>3469</v>
      </c>
      <c r="BM294">
        <v>12765</v>
      </c>
      <c r="BN294">
        <v>17448</v>
      </c>
      <c r="BO294">
        <v>5089</v>
      </c>
      <c r="BP294">
        <v>3898</v>
      </c>
      <c r="BQ294">
        <v>4782</v>
      </c>
      <c r="BR294">
        <v>280867</v>
      </c>
      <c r="BS294" t="s">
        <v>21</v>
      </c>
      <c r="BT294" t="s">
        <v>904</v>
      </c>
      <c r="BU294">
        <v>0</v>
      </c>
      <c r="BV294">
        <v>0.1</v>
      </c>
      <c r="BW294">
        <v>0</v>
      </c>
      <c r="BX294">
        <v>0.4</v>
      </c>
      <c r="BY294">
        <v>115.5</v>
      </c>
      <c r="BZ294">
        <v>116.4</v>
      </c>
      <c r="CA294">
        <v>10</v>
      </c>
      <c r="CB294">
        <v>10</v>
      </c>
      <c r="CC294">
        <v>0</v>
      </c>
      <c r="CD294">
        <f t="shared" si="107"/>
        <v>7.7319587628866815E-3</v>
      </c>
      <c r="CE294">
        <v>1</v>
      </c>
    </row>
    <row r="295" spans="1:83" x14ac:dyDescent="0.4">
      <c r="A295" t="s">
        <v>1242</v>
      </c>
      <c r="B295" t="s">
        <v>69</v>
      </c>
      <c r="C295" t="s">
        <v>73</v>
      </c>
      <c r="D295" t="s">
        <v>82</v>
      </c>
      <c r="E295" t="s">
        <v>69</v>
      </c>
      <c r="F295" t="s">
        <v>22</v>
      </c>
      <c r="G295">
        <v>60</v>
      </c>
      <c r="H295">
        <v>64</v>
      </c>
      <c r="I295">
        <v>72.5</v>
      </c>
      <c r="J295">
        <f t="shared" si="91"/>
        <v>-12.5</v>
      </c>
      <c r="K295">
        <f t="shared" si="92"/>
        <v>-8.5</v>
      </c>
      <c r="L295">
        <v>-4</v>
      </c>
      <c r="M295">
        <v>72.459999999999994</v>
      </c>
      <c r="N295" t="s">
        <v>907</v>
      </c>
      <c r="O295" t="s">
        <v>908</v>
      </c>
      <c r="P295" t="s">
        <v>13</v>
      </c>
      <c r="Q295">
        <v>0.1</v>
      </c>
      <c r="R295" t="s">
        <v>13</v>
      </c>
      <c r="S295" t="s">
        <v>15</v>
      </c>
      <c r="T295" t="s">
        <v>14</v>
      </c>
      <c r="U295">
        <v>0</v>
      </c>
      <c r="V295" t="s">
        <v>14</v>
      </c>
      <c r="W295">
        <f t="shared" ref="W295:W301" si="111">BC295/BB295</f>
        <v>1</v>
      </c>
      <c r="X295" t="s">
        <v>14</v>
      </c>
      <c r="Y295" t="s">
        <v>14</v>
      </c>
      <c r="Z295">
        <v>0</v>
      </c>
      <c r="AA295">
        <f t="shared" si="88"/>
        <v>6619.2982456140353</v>
      </c>
      <c r="AB295">
        <f t="shared" si="89"/>
        <v>87.719298245614041</v>
      </c>
      <c r="AC295">
        <f t="shared" si="90"/>
        <v>64.912280701754398</v>
      </c>
      <c r="AD295" t="s">
        <v>15</v>
      </c>
      <c r="AE295" t="s">
        <v>37</v>
      </c>
      <c r="AF295" t="s">
        <v>18</v>
      </c>
      <c r="AG295" t="s">
        <v>17</v>
      </c>
      <c r="AH295" t="s">
        <v>14</v>
      </c>
      <c r="AI295" t="s">
        <v>18</v>
      </c>
      <c r="AJ295" t="s">
        <v>14</v>
      </c>
      <c r="AK295" t="s">
        <v>14</v>
      </c>
      <c r="AL295" t="s">
        <v>14</v>
      </c>
      <c r="AM295">
        <f t="shared" si="109"/>
        <v>74</v>
      </c>
      <c r="AN295">
        <f t="shared" si="93"/>
        <v>7368</v>
      </c>
      <c r="AO295">
        <f t="shared" si="94"/>
        <v>5468</v>
      </c>
      <c r="AP295">
        <f t="shared" si="95"/>
        <v>874</v>
      </c>
      <c r="AQ295">
        <f t="shared" si="96"/>
        <v>486</v>
      </c>
      <c r="AR295">
        <f t="shared" si="97"/>
        <v>1026</v>
      </c>
      <c r="AS295">
        <f t="shared" si="98"/>
        <v>8.7719298245614041</v>
      </c>
      <c r="AT295">
        <f t="shared" si="99"/>
        <v>24.561403508771935</v>
      </c>
      <c r="AU295">
        <f t="shared" si="100"/>
        <v>3.3659066232356136</v>
      </c>
      <c r="AV295">
        <f t="shared" si="101"/>
        <v>6.5960912052117262</v>
      </c>
      <c r="AW295">
        <f t="shared" si="102"/>
        <v>11.862106406080347</v>
      </c>
      <c r="AX295">
        <f t="shared" si="103"/>
        <v>13.925081433224756</v>
      </c>
      <c r="AY295">
        <f t="shared" si="104"/>
        <v>1271.4285714285722</v>
      </c>
      <c r="AZ295">
        <f t="shared" si="105"/>
        <v>248</v>
      </c>
      <c r="BA295">
        <f t="shared" si="106"/>
        <v>28.000000000000004</v>
      </c>
      <c r="BB295" t="s">
        <v>31</v>
      </c>
      <c r="BC295" t="s">
        <v>31</v>
      </c>
      <c r="BD295">
        <v>0.56999999999999995</v>
      </c>
      <c r="BE295">
        <v>0.5</v>
      </c>
      <c r="BF295">
        <v>0.37</v>
      </c>
      <c r="BG295">
        <v>0.14000000000000001</v>
      </c>
      <c r="BH295">
        <v>0.05</v>
      </c>
      <c r="BI295">
        <v>3773</v>
      </c>
      <c r="BJ295">
        <v>2734</v>
      </c>
      <c r="BK295">
        <v>243</v>
      </c>
      <c r="BL295">
        <v>32</v>
      </c>
      <c r="BM295">
        <v>10</v>
      </c>
      <c r="BN295">
        <v>124</v>
      </c>
      <c r="BO295">
        <v>271</v>
      </c>
      <c r="BP295">
        <v>40</v>
      </c>
      <c r="BQ295">
        <v>230</v>
      </c>
      <c r="BR295">
        <v>89</v>
      </c>
      <c r="BS295" t="s">
        <v>21</v>
      </c>
      <c r="BT295" t="s">
        <v>285</v>
      </c>
      <c r="BU295">
        <v>0</v>
      </c>
      <c r="BV295">
        <v>0</v>
      </c>
      <c r="BW295">
        <v>0</v>
      </c>
      <c r="BX295">
        <v>0.4</v>
      </c>
      <c r="BY295">
        <v>0.6</v>
      </c>
      <c r="BZ295">
        <v>0.6</v>
      </c>
      <c r="CA295">
        <v>2</v>
      </c>
      <c r="CB295">
        <v>2</v>
      </c>
      <c r="CC295">
        <v>0</v>
      </c>
      <c r="CD295">
        <f t="shared" si="107"/>
        <v>0</v>
      </c>
      <c r="CE295">
        <v>1</v>
      </c>
    </row>
    <row r="296" spans="1:83" x14ac:dyDescent="0.4">
      <c r="A296" t="s">
        <v>1243</v>
      </c>
      <c r="B296" t="s">
        <v>69</v>
      </c>
      <c r="C296" t="s">
        <v>73</v>
      </c>
      <c r="D296" t="s">
        <v>82</v>
      </c>
      <c r="E296" t="s">
        <v>69</v>
      </c>
      <c r="F296" t="s">
        <v>12</v>
      </c>
      <c r="G296">
        <v>50</v>
      </c>
      <c r="H296">
        <v>40</v>
      </c>
      <c r="I296">
        <v>11</v>
      </c>
      <c r="J296">
        <f t="shared" si="91"/>
        <v>39</v>
      </c>
      <c r="K296">
        <f t="shared" si="92"/>
        <v>29</v>
      </c>
      <c r="L296">
        <v>10</v>
      </c>
      <c r="M296">
        <v>11.02</v>
      </c>
      <c r="N296" t="s">
        <v>909</v>
      </c>
      <c r="O296" t="s">
        <v>910</v>
      </c>
      <c r="P296" t="s">
        <v>13</v>
      </c>
      <c r="Q296">
        <v>0.7</v>
      </c>
      <c r="R296" t="s">
        <v>13</v>
      </c>
      <c r="S296" t="s">
        <v>27</v>
      </c>
      <c r="T296" t="s">
        <v>14</v>
      </c>
      <c r="U296">
        <v>0</v>
      </c>
      <c r="V296" t="s">
        <v>14</v>
      </c>
      <c r="W296">
        <f t="shared" si="111"/>
        <v>1</v>
      </c>
      <c r="X296" t="s">
        <v>14</v>
      </c>
      <c r="Y296" t="s">
        <v>14</v>
      </c>
      <c r="Z296">
        <v>0</v>
      </c>
      <c r="AA296">
        <f t="shared" si="88"/>
        <v>3420.1323025424404</v>
      </c>
      <c r="AB296">
        <f t="shared" si="89"/>
        <v>10.775484179485137</v>
      </c>
      <c r="AC296">
        <f t="shared" si="90"/>
        <v>5.6348131027337214</v>
      </c>
      <c r="AD296" t="s">
        <v>15</v>
      </c>
      <c r="AE296" t="s">
        <v>27</v>
      </c>
      <c r="AF296" t="s">
        <v>18</v>
      </c>
      <c r="AG296" t="s">
        <v>14</v>
      </c>
      <c r="AH296" t="s">
        <v>17</v>
      </c>
      <c r="AI296" t="s">
        <v>14</v>
      </c>
      <c r="AJ296" t="s">
        <v>14</v>
      </c>
      <c r="AK296" t="s">
        <v>14</v>
      </c>
      <c r="AL296" t="s">
        <v>14</v>
      </c>
      <c r="AM296">
        <f t="shared" si="109"/>
        <v>52.292899408284022</v>
      </c>
      <c r="AN296">
        <f t="shared" si="93"/>
        <v>5482.4704142011833</v>
      </c>
      <c r="AO296">
        <f t="shared" si="94"/>
        <v>3498.0769230769233</v>
      </c>
      <c r="AP296">
        <f t="shared" si="95"/>
        <v>477.88461538461542</v>
      </c>
      <c r="AQ296">
        <f t="shared" si="96"/>
        <v>1258.5798816568047</v>
      </c>
      <c r="AR296">
        <f t="shared" si="97"/>
        <v>1506.508875739645</v>
      </c>
      <c r="AS296">
        <f t="shared" si="98"/>
        <v>1.5063361759783216</v>
      </c>
      <c r="AT296">
        <f t="shared" si="99"/>
        <v>5.1406710767514143</v>
      </c>
      <c r="AU296">
        <f t="shared" si="100"/>
        <v>4.5653845634958108</v>
      </c>
      <c r="AV296">
        <f t="shared" si="101"/>
        <v>22.956437273181063</v>
      </c>
      <c r="AW296">
        <f t="shared" si="102"/>
        <v>8.7165926905279072</v>
      </c>
      <c r="AX296">
        <f t="shared" si="103"/>
        <v>27.478650351442873</v>
      </c>
      <c r="AY296">
        <f t="shared" si="104"/>
        <v>3169.6292987941042</v>
      </c>
      <c r="AZ296">
        <f t="shared" si="105"/>
        <v>250.29585798816569</v>
      </c>
      <c r="BA296">
        <f t="shared" si="106"/>
        <v>47.707100591715978</v>
      </c>
      <c r="BB296" t="s">
        <v>16</v>
      </c>
      <c r="BC296" t="s">
        <v>16</v>
      </c>
      <c r="BD296">
        <v>125.47</v>
      </c>
      <c r="BE296">
        <v>13.52</v>
      </c>
      <c r="BF296">
        <v>7.07</v>
      </c>
      <c r="BG296">
        <v>6.45</v>
      </c>
      <c r="BH296">
        <v>1.89</v>
      </c>
      <c r="BI296">
        <v>429124</v>
      </c>
      <c r="BJ296">
        <v>47294</v>
      </c>
      <c r="BK296">
        <v>17016</v>
      </c>
      <c r="BL296">
        <v>1008</v>
      </c>
      <c r="BM296">
        <v>149</v>
      </c>
      <c r="BN296">
        <v>3384</v>
      </c>
      <c r="BO296">
        <v>1920</v>
      </c>
      <c r="BP296">
        <v>1129</v>
      </c>
      <c r="BQ296">
        <v>2223</v>
      </c>
      <c r="BR296">
        <v>354840</v>
      </c>
      <c r="BS296" t="s">
        <v>21</v>
      </c>
      <c r="BT296" t="s">
        <v>551</v>
      </c>
      <c r="BU296">
        <v>0</v>
      </c>
      <c r="BV296">
        <v>0.5</v>
      </c>
      <c r="BW296">
        <v>1.4</v>
      </c>
      <c r="BX296">
        <v>0</v>
      </c>
      <c r="BY296">
        <v>139.80000000000001</v>
      </c>
      <c r="BZ296">
        <v>143.5</v>
      </c>
      <c r="CA296">
        <v>1</v>
      </c>
      <c r="CB296">
        <v>1</v>
      </c>
      <c r="CC296">
        <v>0</v>
      </c>
      <c r="CD296">
        <f t="shared" si="107"/>
        <v>2.5783972125435484E-2</v>
      </c>
      <c r="CE296">
        <v>1</v>
      </c>
    </row>
    <row r="297" spans="1:83" x14ac:dyDescent="0.4">
      <c r="A297" t="s">
        <v>1244</v>
      </c>
      <c r="B297" t="s">
        <v>69</v>
      </c>
      <c r="C297" t="s">
        <v>73</v>
      </c>
      <c r="D297" t="s">
        <v>82</v>
      </c>
      <c r="E297" t="s">
        <v>69</v>
      </c>
      <c r="F297" t="s">
        <v>12</v>
      </c>
      <c r="G297">
        <v>60</v>
      </c>
      <c r="H297">
        <v>51</v>
      </c>
      <c r="I297">
        <v>40.5</v>
      </c>
      <c r="J297">
        <f t="shared" si="91"/>
        <v>19.5</v>
      </c>
      <c r="K297">
        <f t="shared" si="92"/>
        <v>10.5</v>
      </c>
      <c r="L297">
        <v>9</v>
      </c>
      <c r="M297">
        <v>40.25</v>
      </c>
      <c r="N297" t="s">
        <v>911</v>
      </c>
      <c r="O297" t="s">
        <v>912</v>
      </c>
      <c r="P297" t="s">
        <v>13</v>
      </c>
      <c r="Q297">
        <v>0.2</v>
      </c>
      <c r="R297" t="s">
        <v>26</v>
      </c>
      <c r="S297" t="s">
        <v>15</v>
      </c>
      <c r="T297" t="s">
        <v>14</v>
      </c>
      <c r="U297">
        <v>0</v>
      </c>
      <c r="V297" t="s">
        <v>14</v>
      </c>
      <c r="W297">
        <f t="shared" si="111"/>
        <v>1</v>
      </c>
      <c r="X297" t="s">
        <v>14</v>
      </c>
      <c r="Y297" t="s">
        <v>14</v>
      </c>
      <c r="Z297">
        <v>0</v>
      </c>
      <c r="AA297">
        <f t="shared" si="88"/>
        <v>3047.2169784337279</v>
      </c>
      <c r="AB297">
        <f t="shared" si="89"/>
        <v>68.551570276299984</v>
      </c>
      <c r="AC297">
        <f t="shared" si="90"/>
        <v>23.888793547279903</v>
      </c>
      <c r="AD297" t="s">
        <v>15</v>
      </c>
      <c r="AE297" t="s">
        <v>37</v>
      </c>
      <c r="AF297" t="s">
        <v>24</v>
      </c>
      <c r="AG297" t="s">
        <v>14</v>
      </c>
      <c r="AH297" t="s">
        <v>17</v>
      </c>
      <c r="AI297" t="s">
        <v>18</v>
      </c>
      <c r="AJ297" t="s">
        <v>14</v>
      </c>
      <c r="AK297" t="s">
        <v>14</v>
      </c>
      <c r="AL297" t="s">
        <v>14</v>
      </c>
      <c r="AM297">
        <f t="shared" si="109"/>
        <v>34.847915884340971</v>
      </c>
      <c r="AN297">
        <f t="shared" si="93"/>
        <v>3545.596027871657</v>
      </c>
      <c r="AO297">
        <f t="shared" si="94"/>
        <v>1789.0808194600911</v>
      </c>
      <c r="AP297">
        <f t="shared" si="95"/>
        <v>686.7693077982226</v>
      </c>
      <c r="AQ297">
        <f t="shared" si="96"/>
        <v>964.12567280010023</v>
      </c>
      <c r="AR297">
        <f t="shared" si="97"/>
        <v>1069.7459006133433</v>
      </c>
      <c r="AS297">
        <f t="shared" si="98"/>
        <v>6.9418225501973572</v>
      </c>
      <c r="AT297">
        <f t="shared" si="99"/>
        <v>44.662776729020081</v>
      </c>
      <c r="AU297">
        <f t="shared" si="100"/>
        <v>9.910293690197264</v>
      </c>
      <c r="AV297">
        <f t="shared" si="101"/>
        <v>27.19220309423811</v>
      </c>
      <c r="AW297">
        <f t="shared" si="102"/>
        <v>19.36964342241987</v>
      </c>
      <c r="AX297">
        <f t="shared" si="103"/>
        <v>30.171116286349413</v>
      </c>
      <c r="AY297">
        <f t="shared" si="104"/>
        <v>1918.3810823101408</v>
      </c>
      <c r="AZ297">
        <f t="shared" si="105"/>
        <v>351.3789794300497</v>
      </c>
      <c r="BA297">
        <f t="shared" si="106"/>
        <v>65.152084115659036</v>
      </c>
      <c r="BB297" t="s">
        <v>16</v>
      </c>
      <c r="BC297" t="s">
        <v>16</v>
      </c>
      <c r="BD297">
        <v>349.62</v>
      </c>
      <c r="BE297">
        <v>239.67</v>
      </c>
      <c r="BF297">
        <v>83.52</v>
      </c>
      <c r="BG297">
        <v>156.15</v>
      </c>
      <c r="BH297">
        <v>24.27</v>
      </c>
      <c r="BI297">
        <v>1065368</v>
      </c>
      <c r="BJ297">
        <v>428789</v>
      </c>
      <c r="BK297">
        <v>231072</v>
      </c>
      <c r="BL297">
        <v>35791</v>
      </c>
      <c r="BM297">
        <v>33444</v>
      </c>
      <c r="BN297">
        <v>84215</v>
      </c>
      <c r="BO297">
        <v>11148</v>
      </c>
      <c r="BP297">
        <v>12608</v>
      </c>
      <c r="BQ297">
        <v>12706</v>
      </c>
      <c r="BR297">
        <v>210926</v>
      </c>
      <c r="BS297" t="s">
        <v>21</v>
      </c>
      <c r="BT297" t="s">
        <v>556</v>
      </c>
      <c r="BU297">
        <v>0</v>
      </c>
      <c r="BV297">
        <v>0</v>
      </c>
      <c r="BW297">
        <v>0.3</v>
      </c>
      <c r="BX297">
        <v>0</v>
      </c>
      <c r="BY297">
        <v>362.4</v>
      </c>
      <c r="BZ297">
        <v>364.6</v>
      </c>
      <c r="CA297">
        <v>1</v>
      </c>
      <c r="CB297">
        <v>1</v>
      </c>
      <c r="CC297">
        <v>0</v>
      </c>
      <c r="CD297">
        <f t="shared" si="107"/>
        <v>6.0340098738345116E-3</v>
      </c>
      <c r="CE297">
        <v>1</v>
      </c>
    </row>
    <row r="298" spans="1:83" x14ac:dyDescent="0.4">
      <c r="A298" t="s">
        <v>1245</v>
      </c>
      <c r="B298" t="s">
        <v>69</v>
      </c>
      <c r="C298" t="s">
        <v>73</v>
      </c>
      <c r="D298" t="s">
        <v>82</v>
      </c>
      <c r="E298" t="s">
        <v>69</v>
      </c>
      <c r="F298" t="s">
        <v>22</v>
      </c>
      <c r="G298">
        <v>30</v>
      </c>
      <c r="H298">
        <v>49</v>
      </c>
      <c r="I298">
        <v>37.5</v>
      </c>
      <c r="J298">
        <f t="shared" si="91"/>
        <v>-7.5</v>
      </c>
      <c r="K298">
        <f t="shared" si="92"/>
        <v>11.5</v>
      </c>
      <c r="L298">
        <v>-19</v>
      </c>
      <c r="M298">
        <v>37.409999999999997</v>
      </c>
      <c r="N298" t="s">
        <v>913</v>
      </c>
      <c r="O298" t="s">
        <v>914</v>
      </c>
      <c r="P298" t="s">
        <v>13</v>
      </c>
      <c r="Q298">
        <v>6.8</v>
      </c>
      <c r="R298" t="s">
        <v>26</v>
      </c>
      <c r="S298" t="s">
        <v>27</v>
      </c>
      <c r="T298" t="s">
        <v>14</v>
      </c>
      <c r="U298">
        <v>2.5</v>
      </c>
      <c r="V298" t="s">
        <v>14</v>
      </c>
      <c r="W298">
        <f t="shared" si="111"/>
        <v>1</v>
      </c>
      <c r="X298" t="s">
        <v>14</v>
      </c>
      <c r="Y298" t="s">
        <v>14</v>
      </c>
      <c r="Z298">
        <v>0</v>
      </c>
      <c r="AA298">
        <f t="shared" si="88"/>
        <v>5007.838479809976</v>
      </c>
      <c r="AB298">
        <f t="shared" si="89"/>
        <v>81.353919239904982</v>
      </c>
      <c r="AC298">
        <f t="shared" si="90"/>
        <v>24.109263657957243</v>
      </c>
      <c r="AD298" t="s">
        <v>15</v>
      </c>
      <c r="AE298" t="s">
        <v>15</v>
      </c>
      <c r="AF298" t="s">
        <v>24</v>
      </c>
      <c r="AG298" t="s">
        <v>17</v>
      </c>
      <c r="AH298" t="s">
        <v>14</v>
      </c>
      <c r="AI298" t="s">
        <v>18</v>
      </c>
      <c r="AJ298" t="s">
        <v>14</v>
      </c>
      <c r="AK298" t="s">
        <v>14</v>
      </c>
      <c r="AL298" t="s">
        <v>14</v>
      </c>
      <c r="AM298">
        <f t="shared" si="109"/>
        <v>29.635036496350363</v>
      </c>
      <c r="AN298">
        <f t="shared" si="93"/>
        <v>5911.3868613138693</v>
      </c>
      <c r="AO298">
        <f t="shared" si="94"/>
        <v>2302.9197080291974</v>
      </c>
      <c r="AP298">
        <f t="shared" si="95"/>
        <v>2326.5693430656934</v>
      </c>
      <c r="AQ298">
        <f t="shared" si="96"/>
        <v>857.08029197080293</v>
      </c>
      <c r="AR298">
        <f t="shared" si="97"/>
        <v>1281.8978102189781</v>
      </c>
      <c r="AS298">
        <f t="shared" si="98"/>
        <v>13.895486935866984</v>
      </c>
      <c r="AT298">
        <f t="shared" si="99"/>
        <v>57.244655581947747</v>
      </c>
      <c r="AU298">
        <f t="shared" si="100"/>
        <v>9.5201639789593262</v>
      </c>
      <c r="AV298">
        <f t="shared" si="101"/>
        <v>14.498802262119378</v>
      </c>
      <c r="AW298">
        <f t="shared" si="102"/>
        <v>39.357419800953252</v>
      </c>
      <c r="AX298">
        <f t="shared" si="103"/>
        <v>21.685229545847431</v>
      </c>
      <c r="AY298">
        <f t="shared" si="104"/>
        <v>869.42675159235648</v>
      </c>
      <c r="AZ298">
        <f t="shared" si="105"/>
        <v>562.77372262773724</v>
      </c>
      <c r="BA298">
        <f t="shared" si="106"/>
        <v>70.364963503649633</v>
      </c>
      <c r="BB298" t="s">
        <v>48</v>
      </c>
      <c r="BC298" t="s">
        <v>48</v>
      </c>
      <c r="BD298">
        <v>8.42</v>
      </c>
      <c r="BE298">
        <v>6.85</v>
      </c>
      <c r="BF298">
        <v>2.0299999999999998</v>
      </c>
      <c r="BG298">
        <v>4.82</v>
      </c>
      <c r="BH298">
        <v>1.17</v>
      </c>
      <c r="BI298">
        <v>42166</v>
      </c>
      <c r="BJ298">
        <v>15775</v>
      </c>
      <c r="BK298">
        <v>5871</v>
      </c>
      <c r="BL298">
        <v>2166</v>
      </c>
      <c r="BM298">
        <v>395</v>
      </c>
      <c r="BN298">
        <v>3855</v>
      </c>
      <c r="BO298">
        <v>9521</v>
      </c>
      <c r="BP298">
        <v>1489</v>
      </c>
      <c r="BQ298">
        <v>1421</v>
      </c>
      <c r="BR298">
        <v>1365</v>
      </c>
      <c r="BS298" t="s">
        <v>21</v>
      </c>
      <c r="BT298" t="s">
        <v>139</v>
      </c>
      <c r="BU298">
        <v>0.4</v>
      </c>
      <c r="BV298">
        <v>0.6</v>
      </c>
      <c r="BW298">
        <v>0.1</v>
      </c>
      <c r="BX298">
        <v>0.2</v>
      </c>
      <c r="BY298">
        <v>13.8</v>
      </c>
      <c r="BZ298">
        <v>15.1</v>
      </c>
      <c r="CA298">
        <v>8</v>
      </c>
      <c r="CB298">
        <v>8</v>
      </c>
      <c r="CC298">
        <v>0</v>
      </c>
      <c r="CD298">
        <f t="shared" si="107"/>
        <v>8.6092715231787964E-2</v>
      </c>
      <c r="CE298">
        <v>1</v>
      </c>
    </row>
    <row r="299" spans="1:83" x14ac:dyDescent="0.4">
      <c r="A299" t="s">
        <v>1246</v>
      </c>
      <c r="B299" t="s">
        <v>70</v>
      </c>
      <c r="C299" t="s">
        <v>82</v>
      </c>
      <c r="D299" t="s">
        <v>82</v>
      </c>
      <c r="E299" t="s">
        <v>69</v>
      </c>
      <c r="F299" t="s">
        <v>12</v>
      </c>
      <c r="G299">
        <v>60</v>
      </c>
      <c r="H299">
        <v>88</v>
      </c>
      <c r="I299">
        <v>77</v>
      </c>
      <c r="J299">
        <f t="shared" si="91"/>
        <v>-17</v>
      </c>
      <c r="K299">
        <f t="shared" si="92"/>
        <v>11</v>
      </c>
      <c r="L299">
        <v>-28</v>
      </c>
      <c r="M299">
        <v>77.13</v>
      </c>
      <c r="N299" t="s">
        <v>916</v>
      </c>
      <c r="O299" t="s">
        <v>917</v>
      </c>
      <c r="P299" t="s">
        <v>13</v>
      </c>
      <c r="Q299">
        <v>5.8</v>
      </c>
      <c r="R299" t="s">
        <v>26</v>
      </c>
      <c r="S299" t="s">
        <v>35</v>
      </c>
      <c r="T299" t="s">
        <v>17</v>
      </c>
      <c r="U299">
        <v>0</v>
      </c>
      <c r="V299" t="s">
        <v>14</v>
      </c>
      <c r="W299">
        <f t="shared" si="111"/>
        <v>1</v>
      </c>
      <c r="X299" t="s">
        <v>14</v>
      </c>
      <c r="Y299" t="s">
        <v>14</v>
      </c>
      <c r="Z299">
        <v>10</v>
      </c>
      <c r="AA299">
        <f t="shared" si="88"/>
        <v>2265.2710807950134</v>
      </c>
      <c r="AB299">
        <f t="shared" si="89"/>
        <v>34.587792543808064</v>
      </c>
      <c r="AC299">
        <f t="shared" si="90"/>
        <v>24.091497118664002</v>
      </c>
      <c r="AD299" t="s">
        <v>36</v>
      </c>
      <c r="AE299" t="s">
        <v>36</v>
      </c>
      <c r="AF299" t="s">
        <v>18</v>
      </c>
      <c r="AG299" t="s">
        <v>14</v>
      </c>
      <c r="AH299" t="s">
        <v>14</v>
      </c>
      <c r="AI299" t="s">
        <v>18</v>
      </c>
      <c r="AJ299" t="s">
        <v>14</v>
      </c>
      <c r="AK299" t="s">
        <v>14</v>
      </c>
      <c r="AL299" t="s">
        <v>14</v>
      </c>
      <c r="AM299">
        <f t="shared" si="109"/>
        <v>69.653179190751445</v>
      </c>
      <c r="AN299">
        <f t="shared" si="93"/>
        <v>5716.9670180210815</v>
      </c>
      <c r="AO299">
        <f t="shared" si="94"/>
        <v>5051.2580754845294</v>
      </c>
      <c r="AP299">
        <f t="shared" si="95"/>
        <v>127.79666780006801</v>
      </c>
      <c r="AQ299">
        <f t="shared" si="96"/>
        <v>369.90819449166952</v>
      </c>
      <c r="AR299">
        <f t="shared" si="97"/>
        <v>537.91227473648416</v>
      </c>
      <c r="AS299">
        <f t="shared" si="98"/>
        <v>46.389509584852405</v>
      </c>
      <c r="AT299">
        <f t="shared" si="99"/>
        <v>10.496295425144067</v>
      </c>
      <c r="AU299">
        <f t="shared" si="100"/>
        <v>1.1252795356140268</v>
      </c>
      <c r="AV299">
        <f t="shared" si="101"/>
        <v>6.4703573297806534</v>
      </c>
      <c r="AW299">
        <f t="shared" si="102"/>
        <v>2.2353927772755386</v>
      </c>
      <c r="AX299">
        <f t="shared" si="103"/>
        <v>9.4090498168149601</v>
      </c>
      <c r="AY299">
        <f t="shared" si="104"/>
        <v>438.07083782811935</v>
      </c>
      <c r="AZ299">
        <f t="shared" si="105"/>
        <v>64.331859911594691</v>
      </c>
      <c r="BA299">
        <f t="shared" si="106"/>
        <v>30.346820809248559</v>
      </c>
      <c r="BB299" t="s">
        <v>31</v>
      </c>
      <c r="BC299" t="s">
        <v>31</v>
      </c>
      <c r="BD299">
        <v>170.06</v>
      </c>
      <c r="BE299">
        <v>58.82</v>
      </c>
      <c r="BF299">
        <v>40.97</v>
      </c>
      <c r="BG299">
        <v>17.850000000000001</v>
      </c>
      <c r="BH299">
        <v>78.89</v>
      </c>
      <c r="BI299">
        <v>385232</v>
      </c>
      <c r="BJ299">
        <v>297115</v>
      </c>
      <c r="BK299">
        <v>21758</v>
      </c>
      <c r="BL299">
        <v>2371</v>
      </c>
      <c r="BM299">
        <v>241</v>
      </c>
      <c r="BN299">
        <v>3784</v>
      </c>
      <c r="BO299">
        <v>1121</v>
      </c>
      <c r="BP299">
        <v>7726</v>
      </c>
      <c r="BQ299">
        <v>2156</v>
      </c>
      <c r="BR299">
        <v>48731</v>
      </c>
      <c r="BS299" t="s">
        <v>21</v>
      </c>
      <c r="BT299" t="s">
        <v>915</v>
      </c>
      <c r="BU299">
        <v>0.4</v>
      </c>
      <c r="BV299">
        <v>15.5</v>
      </c>
      <c r="BW299">
        <v>0.1</v>
      </c>
      <c r="BX299">
        <v>0.4</v>
      </c>
      <c r="BY299">
        <v>221.9</v>
      </c>
      <c r="BZ299">
        <v>285.7</v>
      </c>
      <c r="CA299">
        <v>2</v>
      </c>
      <c r="CB299">
        <v>2</v>
      </c>
      <c r="CC299">
        <v>0</v>
      </c>
      <c r="CD299">
        <f t="shared" si="107"/>
        <v>0.2233111655582779</v>
      </c>
      <c r="CE299">
        <v>1</v>
      </c>
    </row>
    <row r="300" spans="1:83" x14ac:dyDescent="0.4">
      <c r="A300" t="s">
        <v>1247</v>
      </c>
      <c r="B300" t="s">
        <v>20</v>
      </c>
      <c r="C300" t="s">
        <v>82</v>
      </c>
      <c r="D300" t="s">
        <v>82</v>
      </c>
      <c r="E300" t="s">
        <v>69</v>
      </c>
      <c r="F300" t="s">
        <v>22</v>
      </c>
      <c r="G300">
        <v>30</v>
      </c>
      <c r="H300">
        <v>23</v>
      </c>
      <c r="I300">
        <v>35</v>
      </c>
      <c r="J300">
        <f t="shared" si="91"/>
        <v>-5</v>
      </c>
      <c r="K300">
        <f t="shared" si="92"/>
        <v>-12</v>
      </c>
      <c r="L300">
        <v>7</v>
      </c>
      <c r="M300">
        <v>34.82</v>
      </c>
      <c r="N300" t="s">
        <v>919</v>
      </c>
      <c r="O300" t="s">
        <v>920</v>
      </c>
      <c r="P300" t="s">
        <v>13</v>
      </c>
      <c r="Q300">
        <v>9.9</v>
      </c>
      <c r="R300" t="s">
        <v>26</v>
      </c>
      <c r="S300" t="s">
        <v>27</v>
      </c>
      <c r="T300" t="s">
        <v>14</v>
      </c>
      <c r="U300">
        <v>12.5</v>
      </c>
      <c r="V300" t="s">
        <v>17</v>
      </c>
      <c r="W300">
        <f t="shared" si="111"/>
        <v>1</v>
      </c>
      <c r="X300" t="s">
        <v>14</v>
      </c>
      <c r="Y300" t="s">
        <v>17</v>
      </c>
      <c r="Z300">
        <v>0</v>
      </c>
      <c r="AA300">
        <f t="shared" si="88"/>
        <v>6224.1029358463211</v>
      </c>
      <c r="AB300">
        <f t="shared" si="89"/>
        <v>65.530989488945266</v>
      </c>
      <c r="AC300">
        <f t="shared" si="90"/>
        <v>51.359188111634651</v>
      </c>
      <c r="AD300" t="s">
        <v>15</v>
      </c>
      <c r="AE300" t="s">
        <v>37</v>
      </c>
      <c r="AF300" t="s">
        <v>18</v>
      </c>
      <c r="AG300" t="s">
        <v>17</v>
      </c>
      <c r="AH300" t="s">
        <v>14</v>
      </c>
      <c r="AI300" t="s">
        <v>18</v>
      </c>
      <c r="AJ300" t="s">
        <v>14</v>
      </c>
      <c r="AK300" t="s">
        <v>17</v>
      </c>
      <c r="AL300" t="s">
        <v>14</v>
      </c>
      <c r="AM300">
        <f t="shared" si="109"/>
        <v>78.373893805309748</v>
      </c>
      <c r="AN300">
        <f t="shared" si="93"/>
        <v>8968.8053097345146</v>
      </c>
      <c r="AO300">
        <f t="shared" si="94"/>
        <v>3307.5774336283189</v>
      </c>
      <c r="AP300">
        <f t="shared" si="95"/>
        <v>5185.0110619469033</v>
      </c>
      <c r="AQ300">
        <f t="shared" si="96"/>
        <v>213.8274336283186</v>
      </c>
      <c r="AR300">
        <f t="shared" si="97"/>
        <v>476.21681415929208</v>
      </c>
      <c r="AS300">
        <f t="shared" si="98"/>
        <v>24.755346139905765</v>
      </c>
      <c r="AT300">
        <f t="shared" si="99"/>
        <v>14.17180137731062</v>
      </c>
      <c r="AU300">
        <f t="shared" si="100"/>
        <v>14.61370532080219</v>
      </c>
      <c r="AV300">
        <f t="shared" si="101"/>
        <v>2.3841239300426751</v>
      </c>
      <c r="AW300">
        <f t="shared" si="102"/>
        <v>57.81161350797997</v>
      </c>
      <c r="AX300">
        <f t="shared" si="103"/>
        <v>5.3097017686672094</v>
      </c>
      <c r="AY300">
        <f t="shared" si="104"/>
        <v>959.30599369085155</v>
      </c>
      <c r="AZ300">
        <f t="shared" si="105"/>
        <v>1310.674778761062</v>
      </c>
      <c r="BA300">
        <f t="shared" si="106"/>
        <v>21.626106194690269</v>
      </c>
      <c r="BB300" t="s">
        <v>23</v>
      </c>
      <c r="BC300" t="s">
        <v>23</v>
      </c>
      <c r="BD300">
        <v>27.59</v>
      </c>
      <c r="BE300">
        <v>18.079999999999998</v>
      </c>
      <c r="BF300">
        <v>14.17</v>
      </c>
      <c r="BG300">
        <v>3.91</v>
      </c>
      <c r="BH300">
        <v>6.83</v>
      </c>
      <c r="BI300">
        <v>171723</v>
      </c>
      <c r="BJ300">
        <v>59801</v>
      </c>
      <c r="BK300">
        <v>3866</v>
      </c>
      <c r="BL300">
        <v>3535</v>
      </c>
      <c r="BM300">
        <v>997</v>
      </c>
      <c r="BN300">
        <v>23697</v>
      </c>
      <c r="BO300">
        <v>65516</v>
      </c>
      <c r="BP300">
        <v>3584</v>
      </c>
      <c r="BQ300">
        <v>1160</v>
      </c>
      <c r="BR300">
        <v>9123</v>
      </c>
      <c r="BS300" t="s">
        <v>21</v>
      </c>
      <c r="BT300" t="s">
        <v>918</v>
      </c>
      <c r="BU300">
        <v>0.1</v>
      </c>
      <c r="BV300">
        <v>0.5</v>
      </c>
      <c r="BW300">
        <v>0</v>
      </c>
      <c r="BX300">
        <v>4.8</v>
      </c>
      <c r="BY300">
        <v>52.3</v>
      </c>
      <c r="BZ300">
        <v>61.7</v>
      </c>
      <c r="CA300">
        <v>10</v>
      </c>
      <c r="CB300">
        <v>10</v>
      </c>
      <c r="CC300">
        <v>0</v>
      </c>
      <c r="CD300">
        <f t="shared" si="107"/>
        <v>0.15235008103727721</v>
      </c>
      <c r="CE300">
        <v>1</v>
      </c>
    </row>
    <row r="301" spans="1:83" x14ac:dyDescent="0.4">
      <c r="A301" t="s">
        <v>1248</v>
      </c>
      <c r="B301" t="s">
        <v>19</v>
      </c>
      <c r="C301" t="s">
        <v>19</v>
      </c>
      <c r="D301" t="s">
        <v>19</v>
      </c>
      <c r="E301" t="s">
        <v>69</v>
      </c>
      <c r="F301" t="s">
        <v>22</v>
      </c>
      <c r="G301">
        <v>70</v>
      </c>
      <c r="H301">
        <v>84</v>
      </c>
      <c r="I301">
        <v>72.5</v>
      </c>
      <c r="J301">
        <f t="shared" si="91"/>
        <v>-2.5</v>
      </c>
      <c r="K301">
        <f t="shared" si="92"/>
        <v>11.5</v>
      </c>
      <c r="L301">
        <v>-14</v>
      </c>
      <c r="M301">
        <v>72.680000000000007</v>
      </c>
      <c r="N301" t="s">
        <v>921</v>
      </c>
      <c r="O301" t="s">
        <v>922</v>
      </c>
      <c r="P301" t="s">
        <v>13</v>
      </c>
      <c r="Q301">
        <v>4.7</v>
      </c>
      <c r="R301" t="s">
        <v>38</v>
      </c>
      <c r="S301" t="s">
        <v>35</v>
      </c>
      <c r="T301" t="s">
        <v>17</v>
      </c>
      <c r="U301">
        <v>20</v>
      </c>
      <c r="V301" t="s">
        <v>17</v>
      </c>
      <c r="W301">
        <f t="shared" si="111"/>
        <v>1</v>
      </c>
      <c r="X301" t="s">
        <v>14</v>
      </c>
      <c r="Y301" t="s">
        <v>14</v>
      </c>
      <c r="Z301">
        <v>0</v>
      </c>
      <c r="AA301">
        <f t="shared" si="88"/>
        <v>2938.3783783783783</v>
      </c>
      <c r="AB301">
        <f t="shared" si="89"/>
        <v>70</v>
      </c>
      <c r="AC301">
        <f t="shared" si="90"/>
        <v>39.729729729729726</v>
      </c>
      <c r="AD301" t="s">
        <v>15</v>
      </c>
      <c r="AE301" t="s">
        <v>37</v>
      </c>
      <c r="AF301" t="s">
        <v>18</v>
      </c>
      <c r="AG301" t="s">
        <v>14</v>
      </c>
      <c r="AH301" t="s">
        <v>14</v>
      </c>
      <c r="AI301" t="s">
        <v>18</v>
      </c>
      <c r="AJ301" t="s">
        <v>14</v>
      </c>
      <c r="AK301" t="s">
        <v>14</v>
      </c>
      <c r="AL301" t="s">
        <v>14</v>
      </c>
      <c r="AM301">
        <f t="shared" si="109"/>
        <v>56.756756756756758</v>
      </c>
      <c r="AN301">
        <f t="shared" si="93"/>
        <v>4043.629343629344</v>
      </c>
      <c r="AO301">
        <f t="shared" si="94"/>
        <v>3050.965250965251</v>
      </c>
      <c r="AP301">
        <f t="shared" si="95"/>
        <v>277.6061776061776</v>
      </c>
      <c r="AQ301">
        <f t="shared" si="96"/>
        <v>500.3861003861004</v>
      </c>
      <c r="AR301">
        <f t="shared" si="97"/>
        <v>715.05791505791512</v>
      </c>
      <c r="AS301">
        <f t="shared" si="98"/>
        <v>26.756756756756754</v>
      </c>
      <c r="AT301">
        <f t="shared" si="99"/>
        <v>30.270270270270274</v>
      </c>
      <c r="AU301">
        <f t="shared" si="100"/>
        <v>2.8549603742958083</v>
      </c>
      <c r="AV301">
        <f t="shared" si="101"/>
        <v>12.374677742767116</v>
      </c>
      <c r="AW301">
        <f t="shared" si="102"/>
        <v>6.8652726057481139</v>
      </c>
      <c r="AX301">
        <f t="shared" si="103"/>
        <v>17.683567268213501</v>
      </c>
      <c r="AY301">
        <f t="shared" si="104"/>
        <v>351.35135135135124</v>
      </c>
      <c r="AZ301">
        <f t="shared" si="105"/>
        <v>115.44401544401545</v>
      </c>
      <c r="BA301">
        <f t="shared" si="106"/>
        <v>43.243243243243249</v>
      </c>
      <c r="BB301" t="s">
        <v>16</v>
      </c>
      <c r="BC301" t="s">
        <v>16</v>
      </c>
      <c r="BD301">
        <v>3.7</v>
      </c>
      <c r="BE301">
        <v>2.59</v>
      </c>
      <c r="BF301">
        <v>1.47</v>
      </c>
      <c r="BG301">
        <v>1.1200000000000001</v>
      </c>
      <c r="BH301">
        <v>0.99</v>
      </c>
      <c r="BI301">
        <v>10872</v>
      </c>
      <c r="BJ301">
        <v>7902</v>
      </c>
      <c r="BK301">
        <v>1296</v>
      </c>
      <c r="BL301">
        <v>294</v>
      </c>
      <c r="BM301">
        <v>33</v>
      </c>
      <c r="BN301">
        <v>299</v>
      </c>
      <c r="BO301">
        <v>93</v>
      </c>
      <c r="BP301">
        <v>234</v>
      </c>
      <c r="BQ301">
        <v>322</v>
      </c>
      <c r="BR301">
        <v>390</v>
      </c>
      <c r="BS301" t="s">
        <v>21</v>
      </c>
      <c r="BT301" t="s">
        <v>139</v>
      </c>
      <c r="BU301">
        <v>0</v>
      </c>
      <c r="BV301">
        <v>5.5</v>
      </c>
      <c r="BW301">
        <v>0</v>
      </c>
      <c r="BX301">
        <v>0.5</v>
      </c>
      <c r="BY301">
        <v>4.4000000000000004</v>
      </c>
      <c r="BZ301">
        <v>5</v>
      </c>
      <c r="CA301">
        <v>1</v>
      </c>
      <c r="CB301">
        <v>1</v>
      </c>
      <c r="CC301">
        <v>0</v>
      </c>
      <c r="CD301">
        <f t="shared" si="107"/>
        <v>0.11999999999999988</v>
      </c>
      <c r="CE301">
        <v>1</v>
      </c>
    </row>
  </sheetData>
  <phoneticPr fontId="2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9BBE-84EF-4A29-9482-6DAFF2A6CB78}">
  <dimension ref="A1:B57"/>
  <sheetViews>
    <sheetView zoomScale="85" zoomScaleNormal="85" workbookViewId="0">
      <selection activeCell="E52" sqref="E52"/>
    </sheetView>
  </sheetViews>
  <sheetFormatPr baseColWidth="10" defaultRowHeight="14.6" x14ac:dyDescent="0.4"/>
  <cols>
    <col min="1" max="1" width="23.84375" customWidth="1"/>
    <col min="2" max="2" width="78.84375" customWidth="1"/>
  </cols>
  <sheetData>
    <row r="1" spans="1:2" ht="71.5" customHeight="1" x14ac:dyDescent="0.4">
      <c r="A1" t="s">
        <v>941</v>
      </c>
      <c r="B1" t="s">
        <v>932</v>
      </c>
    </row>
    <row r="2" spans="1:2" x14ac:dyDescent="0.4">
      <c r="A2" t="s">
        <v>942</v>
      </c>
      <c r="B2" t="s">
        <v>0</v>
      </c>
    </row>
    <row r="3" spans="1:2" x14ac:dyDescent="0.4">
      <c r="A3" t="s">
        <v>942</v>
      </c>
      <c r="B3" t="s">
        <v>83</v>
      </c>
    </row>
    <row r="4" spans="1:2" x14ac:dyDescent="0.4">
      <c r="A4" t="s">
        <v>942</v>
      </c>
      <c r="B4" t="s">
        <v>946</v>
      </c>
    </row>
    <row r="5" spans="1:2" x14ac:dyDescent="0.4">
      <c r="A5" t="s">
        <v>942</v>
      </c>
      <c r="B5" t="s">
        <v>92</v>
      </c>
    </row>
    <row r="6" spans="1:2" x14ac:dyDescent="0.4">
      <c r="A6" t="s">
        <v>942</v>
      </c>
      <c r="B6" t="s">
        <v>923</v>
      </c>
    </row>
    <row r="7" spans="1:2" x14ac:dyDescent="0.4">
      <c r="A7" t="s">
        <v>942</v>
      </c>
      <c r="B7" t="s">
        <v>924</v>
      </c>
    </row>
    <row r="8" spans="1:2" x14ac:dyDescent="0.4">
      <c r="A8" t="s">
        <v>942</v>
      </c>
      <c r="B8" t="s">
        <v>93</v>
      </c>
    </row>
    <row r="9" spans="1:2" x14ac:dyDescent="0.4">
      <c r="A9" t="s">
        <v>942</v>
      </c>
      <c r="B9" t="s">
        <v>925</v>
      </c>
    </row>
    <row r="10" spans="1:2" x14ac:dyDescent="0.4">
      <c r="A10" t="s">
        <v>942</v>
      </c>
      <c r="B10" t="s">
        <v>929</v>
      </c>
    </row>
    <row r="11" spans="1:2" x14ac:dyDescent="0.4">
      <c r="A11" t="s">
        <v>942</v>
      </c>
      <c r="B11" t="s">
        <v>926</v>
      </c>
    </row>
    <row r="12" spans="1:2" x14ac:dyDescent="0.4">
      <c r="A12" t="s">
        <v>942</v>
      </c>
      <c r="B12" t="s">
        <v>927</v>
      </c>
    </row>
    <row r="13" spans="1:2" x14ac:dyDescent="0.4">
      <c r="A13" t="s">
        <v>942</v>
      </c>
      <c r="B13" t="s">
        <v>928</v>
      </c>
    </row>
    <row r="14" spans="1:2" x14ac:dyDescent="0.4">
      <c r="A14" t="s">
        <v>943</v>
      </c>
      <c r="B14" t="s">
        <v>76</v>
      </c>
    </row>
    <row r="15" spans="1:2" ht="17.149999999999999" customHeight="1" x14ac:dyDescent="0.4">
      <c r="A15" t="s">
        <v>943</v>
      </c>
      <c r="B15" t="s">
        <v>935</v>
      </c>
    </row>
    <row r="16" spans="1:2" ht="17.149999999999999" customHeight="1" x14ac:dyDescent="0.4">
      <c r="A16" t="s">
        <v>942</v>
      </c>
      <c r="B16" t="s">
        <v>930</v>
      </c>
    </row>
    <row r="17" spans="1:2" ht="17.149999999999999" customHeight="1" x14ac:dyDescent="0.4"/>
    <row r="18" spans="1:2" ht="25" customHeight="1" x14ac:dyDescent="0.4">
      <c r="B18" t="s">
        <v>933</v>
      </c>
    </row>
    <row r="19" spans="1:2" x14ac:dyDescent="0.4">
      <c r="A19" t="s">
        <v>942</v>
      </c>
      <c r="B19" t="s">
        <v>934</v>
      </c>
    </row>
    <row r="20" spans="1:2" x14ac:dyDescent="0.4">
      <c r="A20" t="s">
        <v>943</v>
      </c>
      <c r="B20" t="s">
        <v>85</v>
      </c>
    </row>
    <row r="21" spans="1:2" x14ac:dyDescent="0.4">
      <c r="A21" t="s">
        <v>943</v>
      </c>
      <c r="B21" t="s">
        <v>86</v>
      </c>
    </row>
    <row r="23" spans="1:2" x14ac:dyDescent="0.4">
      <c r="B23" t="s">
        <v>931</v>
      </c>
    </row>
    <row r="24" spans="1:2" x14ac:dyDescent="0.4">
      <c r="A24" t="s">
        <v>942</v>
      </c>
      <c r="B24" t="s">
        <v>95</v>
      </c>
    </row>
    <row r="25" spans="1:2" x14ac:dyDescent="0.4">
      <c r="A25" t="s">
        <v>943</v>
      </c>
      <c r="B25" t="s">
        <v>101</v>
      </c>
    </row>
    <row r="26" spans="1:2" x14ac:dyDescent="0.4">
      <c r="A26" t="s">
        <v>943</v>
      </c>
      <c r="B26" t="s">
        <v>100</v>
      </c>
    </row>
    <row r="27" spans="1:2" x14ac:dyDescent="0.4">
      <c r="A27" t="s">
        <v>942</v>
      </c>
      <c r="B27" t="s">
        <v>936</v>
      </c>
    </row>
    <row r="28" spans="1:2" ht="17.149999999999999" customHeight="1" x14ac:dyDescent="0.4">
      <c r="A28" t="s">
        <v>943</v>
      </c>
      <c r="B28" t="s">
        <v>103</v>
      </c>
    </row>
    <row r="29" spans="1:2" ht="17.149999999999999" customHeight="1" x14ac:dyDescent="0.4">
      <c r="A29" t="s">
        <v>943</v>
      </c>
      <c r="B29" t="s">
        <v>96</v>
      </c>
    </row>
    <row r="30" spans="1:2" ht="17.149999999999999" customHeight="1" x14ac:dyDescent="0.4">
      <c r="A30" t="s">
        <v>943</v>
      </c>
      <c r="B30" t="s">
        <v>97</v>
      </c>
    </row>
    <row r="31" spans="1:2" ht="17.149999999999999" customHeight="1" x14ac:dyDescent="0.4">
      <c r="A31" t="s">
        <v>943</v>
      </c>
      <c r="B31" t="s">
        <v>98</v>
      </c>
    </row>
    <row r="32" spans="1:2" ht="17.149999999999999" customHeight="1" x14ac:dyDescent="0.4">
      <c r="A32" t="s">
        <v>943</v>
      </c>
      <c r="B32" t="s">
        <v>99</v>
      </c>
    </row>
    <row r="33" spans="1:2" ht="17.149999999999999" customHeight="1" x14ac:dyDescent="0.4">
      <c r="A33" t="s">
        <v>943</v>
      </c>
      <c r="B33" t="s">
        <v>84</v>
      </c>
    </row>
    <row r="34" spans="1:2" ht="17.149999999999999" customHeight="1" x14ac:dyDescent="0.4">
      <c r="A34" t="s">
        <v>943</v>
      </c>
      <c r="B34" t="s">
        <v>945</v>
      </c>
    </row>
    <row r="35" spans="1:2" ht="17.149999999999999" customHeight="1" x14ac:dyDescent="0.4">
      <c r="A35" t="s">
        <v>943</v>
      </c>
      <c r="B35" t="s">
        <v>91</v>
      </c>
    </row>
    <row r="36" spans="1:2" ht="17.149999999999999" customHeight="1" x14ac:dyDescent="0.4">
      <c r="A36" t="s">
        <v>943</v>
      </c>
      <c r="B36" t="s">
        <v>937</v>
      </c>
    </row>
    <row r="37" spans="1:2" ht="17.149999999999999" customHeight="1" x14ac:dyDescent="0.4">
      <c r="A37" t="s">
        <v>943</v>
      </c>
      <c r="B37" t="s">
        <v>944</v>
      </c>
    </row>
    <row r="38" spans="1:2" ht="17.149999999999999" customHeight="1" x14ac:dyDescent="0.4">
      <c r="A38" t="s">
        <v>943</v>
      </c>
      <c r="B38" t="s">
        <v>90</v>
      </c>
    </row>
    <row r="39" spans="1:2" ht="17.149999999999999" customHeight="1" x14ac:dyDescent="0.4">
      <c r="A39" t="s">
        <v>943</v>
      </c>
      <c r="B39" t="s">
        <v>104</v>
      </c>
    </row>
    <row r="40" spans="1:2" ht="17.149999999999999" customHeight="1" x14ac:dyDescent="0.4">
      <c r="A40" t="s">
        <v>943</v>
      </c>
      <c r="B40" t="s">
        <v>106</v>
      </c>
    </row>
    <row r="41" spans="1:2" ht="17.149999999999999" customHeight="1" x14ac:dyDescent="0.4">
      <c r="A41" t="s">
        <v>943</v>
      </c>
      <c r="B41" t="s">
        <v>88</v>
      </c>
    </row>
    <row r="42" spans="1:2" ht="17.149999999999999" customHeight="1" x14ac:dyDescent="0.4">
      <c r="A42" t="s">
        <v>943</v>
      </c>
      <c r="B42" t="s">
        <v>89</v>
      </c>
    </row>
    <row r="43" spans="1:2" ht="17.149999999999999" customHeight="1" x14ac:dyDescent="0.4">
      <c r="A43" t="s">
        <v>943</v>
      </c>
      <c r="B43" t="s">
        <v>72</v>
      </c>
    </row>
    <row r="44" spans="1:2" ht="17.149999999999999" customHeight="1" x14ac:dyDescent="0.4">
      <c r="A44" t="s">
        <v>943</v>
      </c>
      <c r="B44" t="s">
        <v>71</v>
      </c>
    </row>
    <row r="45" spans="1:2" ht="17.149999999999999" customHeight="1" x14ac:dyDescent="0.4">
      <c r="A45" t="s">
        <v>943</v>
      </c>
      <c r="B45" t="s">
        <v>102</v>
      </c>
    </row>
    <row r="46" spans="1:2" ht="17.149999999999999" customHeight="1" x14ac:dyDescent="0.4">
      <c r="A46" t="s">
        <v>943</v>
      </c>
      <c r="B46" t="s">
        <v>105</v>
      </c>
    </row>
    <row r="47" spans="1:2" ht="17.149999999999999" customHeight="1" x14ac:dyDescent="0.4">
      <c r="A47" t="s">
        <v>943</v>
      </c>
      <c r="B47" t="s">
        <v>939</v>
      </c>
    </row>
    <row r="48" spans="1:2" ht="17.149999999999999" customHeight="1" x14ac:dyDescent="0.4">
      <c r="A48" t="s">
        <v>12</v>
      </c>
      <c r="B48" t="s">
        <v>75</v>
      </c>
    </row>
    <row r="49" spans="2:2" ht="17.149999999999999" customHeight="1" x14ac:dyDescent="0.4"/>
    <row r="50" spans="2:2" ht="17.149999999999999" customHeight="1" x14ac:dyDescent="0.4"/>
    <row r="51" spans="2:2" ht="17.149999999999999" customHeight="1" x14ac:dyDescent="0.4">
      <c r="B51" t="s">
        <v>938</v>
      </c>
    </row>
    <row r="52" spans="2:2" ht="17.149999999999999" customHeight="1" x14ac:dyDescent="0.4">
      <c r="B52" t="s">
        <v>77</v>
      </c>
    </row>
    <row r="53" spans="2:2" ht="17.149999999999999" customHeight="1" x14ac:dyDescent="0.4">
      <c r="B53" t="s">
        <v>78</v>
      </c>
    </row>
    <row r="54" spans="2:2" ht="17.149999999999999" customHeight="1" x14ac:dyDescent="0.4">
      <c r="B54" t="s">
        <v>87</v>
      </c>
    </row>
    <row r="55" spans="2:2" ht="17.149999999999999" customHeight="1" x14ac:dyDescent="0.4">
      <c r="B55" t="s">
        <v>79</v>
      </c>
    </row>
    <row r="56" spans="2:2" x14ac:dyDescent="0.4">
      <c r="B56" t="s">
        <v>80</v>
      </c>
    </row>
    <row r="57" spans="2:2" x14ac:dyDescent="0.4">
      <c r="B57" t="s">
        <v>81</v>
      </c>
    </row>
  </sheetData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252AF3-B1D0-4001-B057-D167D137B1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Data_Table_with_New_Variables</vt:lpstr>
      <vt:lpstr>Variable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Gachechiladze Mariam</dc:creator>
  <cp:lastModifiedBy>Runge Jan-Niklas</cp:lastModifiedBy>
  <dcterms:created xsi:type="dcterms:W3CDTF">2015-06-05T18:19:34Z</dcterms:created>
  <dcterms:modified xsi:type="dcterms:W3CDTF">2026-07-27T07:57:20Z</dcterms:modified>
</cp:coreProperties>
</file>